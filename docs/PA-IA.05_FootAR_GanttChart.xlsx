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EsteLivro"/>
  <mc:AlternateContent xmlns:mc="http://schemas.openxmlformats.org/markup-compatibility/2006">
    <mc:Choice Requires="x15">
      <x15ac:absPath xmlns:x15ac="http://schemas.microsoft.com/office/spreadsheetml/2010/11/ac" url="https://iscteiul365-my.sharepoint.com/personal/aslro_iscte-iul_pt/Documents/Documents/ISCTE-IUL/ISCTE Sintra/Unidades Curriculares/2025-2026/Projeto Aplicado/Planeamento de Tarefas/"/>
    </mc:Choice>
  </mc:AlternateContent>
  <xr:revisionPtr revIDLastSave="0" documentId="8_{049E35B6-4991-4ECF-B246-74F8E6C30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otAR" sheetId="11" r:id="rId1"/>
  </sheets>
  <definedNames>
    <definedName name="_xlnm.Print_Area" localSheetId="0">FootAR!$1:$32</definedName>
    <definedName name="task_end" localSheetId="0">FootAR!$E1</definedName>
    <definedName name="task_progress" localSheetId="0">FootAR!#REF!</definedName>
    <definedName name="task_start" localSheetId="0">FootAR!$D1</definedName>
    <definedName name="_xlnm.Print_Titles" localSheetId="0">FootAR!$6:$8</definedName>
    <definedName name="today" localSheetId="0">FootAR!$D$4</definedName>
    <definedName name="valuevx">42.314159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H7" i="11" s="1"/>
  <c r="H6" i="11" s="1"/>
  <c r="D4" i="11"/>
  <c r="G11" i="11"/>
  <c r="I7" i="11" l="1"/>
  <c r="H8" i="11"/>
  <c r="G25" i="11"/>
  <c r="G23" i="11"/>
  <c r="G22" i="11"/>
  <c r="G19" i="11"/>
  <c r="G17" i="11"/>
  <c r="G16" i="11"/>
  <c r="G15" i="11"/>
  <c r="G12" i="11"/>
  <c r="G10" i="11"/>
  <c r="G9" i="11"/>
  <c r="J7" i="11" l="1"/>
  <c r="I8" i="11"/>
  <c r="K7" i="11" l="1"/>
  <c r="J8" i="11"/>
  <c r="K8" i="11" l="1"/>
  <c r="L7" i="11"/>
  <c r="L8" i="11" l="1"/>
  <c r="M7" i="11"/>
  <c r="M8" i="11" l="1"/>
  <c r="N7" i="11"/>
  <c r="N8" i="11" l="1"/>
  <c r="O7" i="11"/>
  <c r="P7" i="11" l="1"/>
  <c r="Q7" i="11" s="1"/>
  <c r="R7" i="11" s="1"/>
  <c r="S7" i="11" s="1"/>
  <c r="T7" i="11" s="1"/>
  <c r="U7" i="11" s="1"/>
  <c r="V7" i="11" s="1"/>
  <c r="O6" i="11"/>
  <c r="W7" i="11" l="1"/>
  <c r="X7" i="11" s="1"/>
  <c r="Y7" i="11" s="1"/>
  <c r="Z7" i="11" s="1"/>
  <c r="AA7" i="11" s="1"/>
  <c r="AB7" i="11" s="1"/>
  <c r="AC7" i="11" s="1"/>
  <c r="V6" i="11"/>
  <c r="AC6" i="11" l="1"/>
  <c r="AD7" i="11"/>
  <c r="AE7" i="11" s="1"/>
  <c r="AF7" i="11" s="1"/>
  <c r="AG7" i="11" s="1"/>
  <c r="AH7" i="11" s="1"/>
  <c r="AI7" i="11" s="1"/>
  <c r="AJ7" i="11" s="1"/>
  <c r="AK7" i="11" l="1"/>
  <c r="AL7" i="11" s="1"/>
  <c r="AM7" i="11" s="1"/>
  <c r="AN7" i="11" s="1"/>
  <c r="AO7" i="11" s="1"/>
  <c r="AP7" i="11" s="1"/>
  <c r="AQ7" i="11" s="1"/>
  <c r="AJ6" i="11"/>
  <c r="AR7" i="11" l="1"/>
  <c r="AQ6" i="11"/>
  <c r="O8" i="11"/>
  <c r="P8" i="11"/>
  <c r="AS7" i="11" l="1"/>
  <c r="AR8" i="11"/>
  <c r="Q8" i="11"/>
  <c r="AT7" i="11" l="1"/>
  <c r="AS8" i="11"/>
  <c r="R8" i="11"/>
  <c r="AU7" i="11" l="1"/>
  <c r="AT8" i="11"/>
  <c r="S8" i="11"/>
  <c r="AV7" i="11" l="1"/>
  <c r="AU8" i="11"/>
  <c r="T8" i="11"/>
  <c r="AW7" i="11" l="1"/>
  <c r="AV8" i="11"/>
  <c r="U8" i="11"/>
  <c r="AX7" i="11" l="1"/>
  <c r="AW8" i="11"/>
  <c r="V8" i="11"/>
  <c r="AY7" i="11" l="1"/>
  <c r="AX6" i="11"/>
  <c r="AX8" i="11"/>
  <c r="W8" i="11"/>
  <c r="AZ7" i="11" l="1"/>
  <c r="AY8" i="11"/>
  <c r="X8" i="11"/>
  <c r="AZ8" i="11" l="1"/>
  <c r="BA7" i="11"/>
  <c r="Y8" i="11"/>
  <c r="BA8" i="11" l="1"/>
  <c r="BB7" i="11"/>
  <c r="Z8" i="11"/>
  <c r="BB8" i="11" l="1"/>
  <c r="BC7" i="11"/>
  <c r="AA8" i="11"/>
  <c r="BD7" i="11" l="1"/>
  <c r="BC8" i="11"/>
  <c r="AB8" i="11"/>
  <c r="BD8" i="11" l="1"/>
  <c r="BE7" i="11"/>
  <c r="AC8" i="11"/>
  <c r="BE8" i="11" l="1"/>
  <c r="BF7" i="11"/>
  <c r="BE6" i="11"/>
  <c r="AD8" i="11"/>
  <c r="BG7" i="11" l="1"/>
  <c r="BF8" i="11"/>
  <c r="AE8" i="11"/>
  <c r="BG8" i="11" l="1"/>
  <c r="BH7" i="11"/>
  <c r="AF8" i="11"/>
  <c r="BI7" i="11" l="1"/>
  <c r="BH8" i="11"/>
  <c r="AG8" i="11"/>
  <c r="BJ7" i="11" l="1"/>
  <c r="BI8" i="11"/>
  <c r="AH8" i="11"/>
  <c r="BJ8" i="11" l="1"/>
  <c r="BK7" i="11"/>
  <c r="AI8" i="11"/>
  <c r="BL7" i="11" l="1"/>
  <c r="BK8" i="11"/>
  <c r="AJ8" i="11"/>
  <c r="BL8" i="11" l="1"/>
  <c r="BL6" i="11"/>
  <c r="BM7" i="11"/>
  <c r="AK8" i="11"/>
  <c r="BM8" i="11" l="1"/>
  <c r="BN7" i="11"/>
  <c r="AL8" i="11"/>
  <c r="BN8" i="11" l="1"/>
  <c r="BO7" i="11"/>
  <c r="AM8" i="11"/>
  <c r="BO8" i="11" l="1"/>
  <c r="BP7" i="11"/>
  <c r="AN8" i="11"/>
  <c r="BP8" i="11" l="1"/>
  <c r="BQ7" i="11"/>
  <c r="AO8" i="11"/>
  <c r="BQ8" i="11" l="1"/>
  <c r="BR7" i="11"/>
  <c r="AP8" i="11"/>
  <c r="BS7" i="11" l="1"/>
  <c r="BR8" i="11"/>
  <c r="AQ8" i="11"/>
  <c r="BS6" i="11" l="1"/>
  <c r="BT7" i="11"/>
  <c r="BS8" i="11"/>
  <c r="BU7" i="11" l="1"/>
  <c r="BT8" i="11"/>
  <c r="BU8" i="11" l="1"/>
  <c r="BV7" i="11"/>
  <c r="BW7" i="11" l="1"/>
  <c r="BV8" i="11"/>
  <c r="BX7" i="11" l="1"/>
  <c r="BW8" i="11"/>
  <c r="BY7" i="11" l="1"/>
  <c r="BX8" i="11"/>
  <c r="BY8" i="11" l="1"/>
  <c r="BZ7" i="11"/>
  <c r="BZ6" i="11" l="1"/>
  <c r="CA7" i="11"/>
  <c r="BZ8" i="11"/>
  <c r="CA8" i="11" l="1"/>
  <c r="CB7" i="11"/>
  <c r="CB8" i="11" l="1"/>
  <c r="CC7" i="11"/>
  <c r="CC8" i="11" l="1"/>
  <c r="CD7" i="11"/>
  <c r="CE7" i="11" l="1"/>
  <c r="CD8" i="11"/>
  <c r="CF7" i="11" l="1"/>
  <c r="CE8" i="11"/>
  <c r="CF8" i="11" l="1"/>
  <c r="CG7" i="11"/>
  <c r="CG6" i="11" l="1"/>
  <c r="CG8" i="11"/>
  <c r="CH7" i="11"/>
  <c r="CH8" i="11" l="1"/>
  <c r="CI7" i="11"/>
  <c r="CJ7" i="11" l="1"/>
  <c r="CI8" i="11"/>
  <c r="CJ8" i="11" l="1"/>
  <c r="CK7" i="11"/>
  <c r="CK8" i="11" l="1"/>
  <c r="CL7" i="11"/>
  <c r="CM7" i="11" l="1"/>
  <c r="CL8" i="11"/>
  <c r="CN7" i="11" l="1"/>
  <c r="CM8" i="11"/>
  <c r="CN8" i="11" l="1"/>
  <c r="CO7" i="11"/>
  <c r="CN6" i="11"/>
  <c r="CO8" i="11" l="1"/>
  <c r="CP7" i="11"/>
  <c r="CQ7" i="11" l="1"/>
  <c r="CP8" i="11"/>
  <c r="CR7" i="11" l="1"/>
  <c r="CQ8" i="11"/>
  <c r="CR8" i="11" l="1"/>
  <c r="CS7" i="11"/>
  <c r="CT7" i="11" l="1"/>
  <c r="CS8" i="11"/>
  <c r="CU7" i="11" l="1"/>
  <c r="CT8" i="11"/>
  <c r="CV7" i="11" l="1"/>
  <c r="CU6" i="11"/>
  <c r="CU8" i="11"/>
  <c r="CV8" i="11" l="1"/>
  <c r="CW7" i="11"/>
  <c r="CX7" i="11" l="1"/>
  <c r="CW8" i="11"/>
  <c r="CX8" i="11" l="1"/>
  <c r="CY7" i="11"/>
  <c r="CZ7" i="11" l="1"/>
  <c r="CY8" i="11"/>
  <c r="DA7" i="11" l="1"/>
  <c r="CZ8" i="11"/>
  <c r="DB7" i="11" l="1"/>
  <c r="DA8" i="11"/>
  <c r="DB6" i="11" l="1"/>
  <c r="DB8" i="11"/>
  <c r="DC7" i="11"/>
  <c r="DD7" i="11" l="1"/>
  <c r="DC8" i="11"/>
  <c r="DE7" i="11" l="1"/>
  <c r="DD8" i="11"/>
  <c r="DE8" i="11" l="1"/>
  <c r="DF7" i="11"/>
  <c r="DG7" i="11" l="1"/>
  <c r="DF8" i="11"/>
  <c r="DG8" i="11" l="1"/>
  <c r="DH7" i="11"/>
  <c r="DH8" i="11" l="1"/>
  <c r="DI7" i="11"/>
  <c r="DI8" i="11" l="1"/>
  <c r="DI6" i="11"/>
  <c r="DJ7" i="11"/>
  <c r="DK7" i="11" l="1"/>
  <c r="DJ8" i="11"/>
  <c r="DK8" i="11" l="1"/>
  <c r="DL7" i="11"/>
  <c r="DL8" i="11" l="1"/>
  <c r="DM7" i="11"/>
  <c r="DM8" i="11" l="1"/>
  <c r="DN7" i="11"/>
  <c r="DN8" i="11" l="1"/>
  <c r="DO7" i="11"/>
  <c r="DO8" i="11" l="1"/>
  <c r="DP7" i="11"/>
  <c r="DQ7" i="11" l="1"/>
  <c r="DP8" i="11"/>
  <c r="DP6" i="11"/>
  <c r="DR7" i="11" l="1"/>
  <c r="DQ8" i="11"/>
  <c r="DS7" i="11" l="1"/>
  <c r="DR8" i="11"/>
  <c r="DS8" i="11" l="1"/>
  <c r="DT7" i="11"/>
  <c r="DT8" i="11" l="1"/>
  <c r="DU7" i="11"/>
  <c r="DU8" i="11" l="1"/>
  <c r="DV7" i="11"/>
  <c r="DV8" i="11" l="1"/>
  <c r="DW7" i="11"/>
  <c r="DW6" i="11" l="1"/>
  <c r="DW8" i="11"/>
  <c r="DX7" i="11"/>
  <c r="DY7" i="11" l="1"/>
  <c r="DX8" i="11"/>
  <c r="DY8" i="11" l="1"/>
  <c r="DZ7" i="11"/>
  <c r="DZ8" i="11" l="1"/>
  <c r="EA7" i="11"/>
  <c r="EA8" i="11" l="1"/>
  <c r="EB7" i="11"/>
  <c r="EC7" i="11" l="1"/>
  <c r="EB8" i="11"/>
  <c r="EC8" i="11" l="1"/>
  <c r="ED7" i="11"/>
  <c r="ED6" i="11" l="1"/>
  <c r="ED8" i="11"/>
  <c r="EE7" i="11"/>
  <c r="EF7" i="11" l="1"/>
  <c r="EE8" i="11"/>
  <c r="EG7" i="11" l="1"/>
  <c r="EF8" i="11"/>
  <c r="EH7" i="11" l="1"/>
  <c r="EG8" i="11"/>
  <c r="EH8" i="11" l="1"/>
  <c r="EI7" i="11"/>
  <c r="EJ7" i="11" l="1"/>
  <c r="EI8" i="11"/>
  <c r="EK7" i="11" l="1"/>
  <c r="EJ8" i="11"/>
  <c r="EK8" i="11" l="1"/>
  <c r="EL7" i="11"/>
  <c r="EK6" i="11"/>
  <c r="EL8" i="11" l="1"/>
  <c r="EM7" i="11"/>
  <c r="EM8" i="11" l="1"/>
  <c r="EN7" i="11"/>
  <c r="EO7" i="11" l="1"/>
  <c r="EN8" i="11"/>
  <c r="EP7" i="11" l="1"/>
  <c r="EO8" i="11"/>
  <c r="EP8" i="11" l="1"/>
  <c r="EQ7" i="11"/>
  <c r="EQ8" i="11" l="1"/>
  <c r="ER7" i="11"/>
  <c r="ES7" i="11" l="1"/>
  <c r="ER8" i="11"/>
  <c r="ER6" i="11"/>
  <c r="ES8" i="11" l="1"/>
  <c r="ET7" i="11"/>
  <c r="ET8" i="11" l="1"/>
  <c r="EU7" i="11"/>
  <c r="EV7" i="11" l="1"/>
  <c r="EU8" i="11"/>
  <c r="EV8" i="11" l="1"/>
  <c r="EW7" i="11"/>
  <c r="EX7" i="11" l="1"/>
  <c r="EW8" i="11"/>
  <c r="EY7" i="11" l="1"/>
  <c r="EX8" i="11"/>
  <c r="EY8" i="11" l="1"/>
  <c r="EY6" i="11"/>
  <c r="EZ7" i="11"/>
  <c r="FA7" i="11" l="1"/>
  <c r="EZ8" i="11"/>
  <c r="FA8" i="11" l="1"/>
  <c r="FB7" i="11"/>
  <c r="FB8" i="11" l="1"/>
  <c r="FC7" i="11"/>
  <c r="FD7" i="11" l="1"/>
  <c r="FC8" i="11"/>
  <c r="FD8" i="11" l="1"/>
  <c r="FE7" i="11"/>
  <c r="FE8" i="11" l="1"/>
  <c r="FF7" i="11"/>
  <c r="FF8" i="11" l="1"/>
  <c r="FF6" i="11"/>
  <c r="FG7" i="11"/>
  <c r="FH7" i="11" l="1"/>
  <c r="FG8" i="11"/>
  <c r="FH8" i="11" l="1"/>
  <c r="FI7" i="11"/>
  <c r="FJ7" i="11" l="1"/>
  <c r="FI8" i="11"/>
  <c r="FK7" i="11" l="1"/>
  <c r="FJ8" i="11"/>
  <c r="FL7" i="11" l="1"/>
  <c r="FK8" i="11"/>
  <c r="FL8" i="11" l="1"/>
  <c r="FM7" i="11"/>
  <c r="FM8" i="11" l="1"/>
  <c r="FM6" i="11"/>
  <c r="FN7" i="11"/>
  <c r="FN8" i="11" l="1"/>
  <c r="FO7" i="11"/>
  <c r="FO8" i="11" l="1"/>
  <c r="FP7" i="11"/>
  <c r="FQ7" i="11" l="1"/>
  <c r="FP8" i="11"/>
  <c r="FR7" i="11" l="1"/>
  <c r="FQ8" i="11"/>
  <c r="FS7" i="11" l="1"/>
  <c r="FR8" i="11"/>
  <c r="FT7" i="11" l="1"/>
  <c r="FS8" i="11"/>
  <c r="FT6" i="11" l="1"/>
  <c r="FT8" i="11"/>
  <c r="FU7" i="11"/>
  <c r="FV7" i="11" l="1"/>
  <c r="FU8" i="11"/>
  <c r="FV8" i="11" l="1"/>
  <c r="FW7" i="11"/>
  <c r="FW8" i="11" l="1"/>
  <c r="FX7" i="11"/>
  <c r="FY7" i="11" l="1"/>
  <c r="FX8" i="11"/>
  <c r="FZ7" i="11" l="1"/>
  <c r="FY8" i="11"/>
  <c r="GA7" i="11" l="1"/>
  <c r="FZ8" i="11"/>
  <c r="GA8" i="11" l="1"/>
  <c r="GA6" i="11"/>
  <c r="GB7" i="11"/>
  <c r="GB8" i="11" l="1"/>
  <c r="GC7" i="11"/>
  <c r="GC8" i="11" l="1"/>
  <c r="GD7" i="11"/>
  <c r="GE7" i="11" l="1"/>
  <c r="GD8" i="11"/>
  <c r="GE8" i="11" l="1"/>
  <c r="GF7" i="11"/>
  <c r="GF8" i="11" l="1"/>
  <c r="GG7" i="11"/>
  <c r="GH7" i="11" l="1"/>
  <c r="GG8" i="11"/>
  <c r="GH8" i="11" l="1"/>
  <c r="GH6" i="11"/>
  <c r="GI7" i="11"/>
  <c r="GI8" i="11" l="1"/>
  <c r="GJ7" i="11"/>
  <c r="GK7" i="11" l="1"/>
  <c r="GJ8" i="11"/>
  <c r="GK8" i="11" l="1"/>
  <c r="GL7" i="11"/>
  <c r="GM7" i="11" l="1"/>
  <c r="GL8" i="11"/>
  <c r="GM8" i="11" l="1"/>
  <c r="GN7" i="11"/>
  <c r="GN8" i="11" l="1"/>
  <c r="GO7" i="11"/>
  <c r="GO8" i="11" l="1"/>
  <c r="GO6" i="11"/>
  <c r="GP7" i="11"/>
  <c r="GP8" i="11" l="1"/>
  <c r="GQ7" i="11"/>
  <c r="GQ8" i="11" l="1"/>
  <c r="GR7" i="11"/>
  <c r="GR8" i="11" l="1"/>
  <c r="GS7" i="11"/>
  <c r="GS8" i="11" l="1"/>
  <c r="GT7" i="11"/>
  <c r="GT8" i="11" l="1"/>
  <c r="GU7" i="11"/>
  <c r="GU8" i="11" l="1"/>
  <c r="GV7" i="11"/>
  <c r="GV6" i="11" l="1"/>
  <c r="GW7" i="11"/>
  <c r="GV8" i="11"/>
  <c r="GW8" i="11" l="1"/>
  <c r="GX7" i="11"/>
  <c r="GX8" i="11" l="1"/>
  <c r="GY7" i="11"/>
  <c r="GY8" i="11" l="1"/>
  <c r="GZ7" i="11"/>
  <c r="GZ8" i="11" l="1"/>
  <c r="HA7" i="11"/>
  <c r="HA8" i="11" l="1"/>
  <c r="HB7" i="11"/>
  <c r="HB8" i="11" l="1"/>
  <c r="HC7" i="11"/>
  <c r="HC8" i="11" l="1"/>
  <c r="HD7" i="11"/>
  <c r="HC6" i="11"/>
  <c r="HD8" i="11" l="1"/>
  <c r="HE7" i="11"/>
  <c r="HE8" i="11" l="1"/>
  <c r="HF7" i="11"/>
  <c r="HF8" i="11" l="1"/>
  <c r="HG7" i="11"/>
  <c r="HH7" i="11" l="1"/>
  <c r="HG8" i="11"/>
  <c r="HH8" i="11" l="1"/>
  <c r="HI7" i="11"/>
  <c r="HJ7" i="11" l="1"/>
  <c r="HI8" i="11"/>
  <c r="HJ8" i="11" l="1"/>
  <c r="HK7" i="11"/>
  <c r="HJ6" i="11"/>
  <c r="HK8" i="11" l="1"/>
  <c r="HL7" i="11"/>
  <c r="HM7" i="11" l="1"/>
  <c r="HL8" i="11"/>
  <c r="HM8" i="11" l="1"/>
  <c r="HN7" i="11"/>
  <c r="HO7" i="11" l="1"/>
  <c r="HN8" i="11"/>
  <c r="HP7" i="11" l="1"/>
  <c r="HO8" i="11"/>
  <c r="HQ7" i="11" l="1"/>
  <c r="HP8" i="11"/>
  <c r="HQ6" i="11" l="1"/>
  <c r="HR7" i="11"/>
  <c r="HQ8" i="11"/>
  <c r="HR8" i="11" l="1"/>
  <c r="HS7" i="11"/>
  <c r="HS8" i="11" l="1"/>
  <c r="HT7" i="11"/>
  <c r="HT8" i="11" l="1"/>
  <c r="HU7" i="11"/>
  <c r="HV7" i="11" l="1"/>
  <c r="HU8" i="11"/>
  <c r="HV8" i="11" l="1"/>
  <c r="HW7" i="11"/>
  <c r="HW8" i="11" l="1"/>
  <c r="HX7" i="11"/>
  <c r="HX6" i="11" l="1"/>
  <c r="HX8" i="11"/>
  <c r="HY7" i="11"/>
  <c r="HZ7" i="11" l="1"/>
  <c r="HY8" i="11"/>
  <c r="HZ8" i="11" l="1"/>
  <c r="IA7" i="11"/>
  <c r="IA8" i="11" l="1"/>
  <c r="IB7" i="11"/>
  <c r="IC7" i="11" l="1"/>
  <c r="IB8" i="11"/>
  <c r="IC8" i="11" l="1"/>
  <c r="ID7" i="11"/>
  <c r="ID8" i="11" l="1"/>
  <c r="IE7" i="11"/>
  <c r="IE6" i="11" l="1"/>
  <c r="IF7" i="11"/>
  <c r="IE8" i="11"/>
  <c r="IF8" i="11" l="1"/>
  <c r="IG7" i="11"/>
  <c r="IG8" i="11" l="1"/>
  <c r="IH7" i="11"/>
  <c r="IH8" i="11" l="1"/>
  <c r="II7" i="11"/>
  <c r="IJ7" i="11" l="1"/>
  <c r="II8" i="11"/>
  <c r="IJ8" i="11" l="1"/>
  <c r="IK7" i="11"/>
  <c r="IL7" i="11" l="1"/>
  <c r="IK8" i="11"/>
  <c r="IM7" i="11" l="1"/>
  <c r="IL8" i="11"/>
  <c r="IL6" i="11"/>
  <c r="IN7" i="11" l="1"/>
  <c r="IM8" i="11"/>
  <c r="IO7" i="11" l="1"/>
  <c r="IN8" i="11"/>
  <c r="IP7" i="11" l="1"/>
  <c r="IO8" i="11"/>
  <c r="IQ7" i="11" l="1"/>
  <c r="IP8" i="11"/>
  <c r="IR7" i="11" l="1"/>
  <c r="IQ8" i="11"/>
  <c r="IR8" i="11" l="1"/>
  <c r="IS7" i="11"/>
  <c r="IT7" i="11" l="1"/>
  <c r="IS8" i="11"/>
  <c r="IS6" i="11"/>
  <c r="IT8" i="11" l="1"/>
  <c r="IU7" i="11"/>
  <c r="IU8" i="11" l="1"/>
  <c r="IV7" i="11"/>
  <c r="IV8" i="11" l="1"/>
  <c r="IW7" i="11"/>
  <c r="IX7" i="11" l="1"/>
  <c r="IW8" i="11"/>
  <c r="IY7" i="11" l="1"/>
  <c r="IX8" i="11"/>
  <c r="IY8" i="11" l="1"/>
  <c r="IZ7" i="11"/>
  <c r="JA7" i="11" l="1"/>
  <c r="IZ6" i="11"/>
  <c r="IZ8" i="11"/>
  <c r="JB7" i="11" l="1"/>
  <c r="JA8" i="11"/>
  <c r="JC7" i="11" l="1"/>
  <c r="JB8" i="11"/>
  <c r="JD7" i="11" l="1"/>
  <c r="JC8" i="11"/>
  <c r="JE7" i="11" l="1"/>
  <c r="JD8" i="11"/>
  <c r="JF7" i="11" l="1"/>
  <c r="JE8" i="11"/>
  <c r="JF8" i="11" l="1"/>
  <c r="JG7" i="11"/>
  <c r="JG6" i="11" l="1"/>
  <c r="JH7" i="11"/>
  <c r="JG8" i="11"/>
  <c r="JH8" i="11" l="1"/>
  <c r="JI7" i="11"/>
  <c r="JI8" i="11" l="1"/>
  <c r="JJ7" i="11"/>
  <c r="JJ8" i="11" l="1"/>
  <c r="JK7" i="11"/>
  <c r="JK8" i="11" l="1"/>
  <c r="JL7" i="11"/>
  <c r="JL8" i="11" l="1"/>
  <c r="JM7" i="11"/>
  <c r="JM8" i="11" l="1"/>
  <c r="JN7" i="11"/>
  <c r="JN8" i="11" l="1"/>
  <c r="JN6" i="11"/>
  <c r="JO7" i="11"/>
  <c r="JP7" i="11" l="1"/>
  <c r="JO8" i="11"/>
  <c r="JP8" i="11" l="1"/>
  <c r="JQ7" i="11"/>
  <c r="JQ8" i="11" l="1"/>
  <c r="JR7" i="11"/>
  <c r="JS7" i="11" l="1"/>
  <c r="JR8" i="11"/>
  <c r="JT7" i="11" l="1"/>
  <c r="JS8" i="11"/>
  <c r="JU7" i="11" l="1"/>
  <c r="JT8" i="11"/>
  <c r="JV7" i="11" l="1"/>
  <c r="JU8" i="11"/>
  <c r="JU6" i="11"/>
  <c r="JW7" i="11" l="1"/>
  <c r="JV8" i="11"/>
  <c r="JX7" i="11" l="1"/>
  <c r="JW8" i="11"/>
  <c r="JX8" i="11" l="1"/>
  <c r="JY7" i="11"/>
  <c r="JY8" i="11" l="1"/>
  <c r="JZ7" i="11"/>
  <c r="JZ8" i="11" l="1"/>
  <c r="KA7" i="11"/>
  <c r="KA8" i="11" l="1"/>
  <c r="KB7" i="11"/>
  <c r="KB8" i="11" l="1"/>
  <c r="KB6" i="11"/>
  <c r="KC7" i="11"/>
  <c r="KD7" i="11" l="1"/>
  <c r="KC8" i="11"/>
  <c r="KE7" i="11" l="1"/>
  <c r="KD8" i="11"/>
  <c r="KF7" i="11" l="1"/>
  <c r="KE8" i="11"/>
  <c r="KG7" i="11" l="1"/>
  <c r="KF8" i="11"/>
  <c r="KG8" i="11" l="1"/>
  <c r="KH7" i="11"/>
  <c r="KH8" i="11" l="1"/>
  <c r="KI7" i="11"/>
  <c r="KI8" i="11" l="1"/>
  <c r="KJ7" i="11"/>
  <c r="KJ8" i="11" l="1"/>
  <c r="KK7" i="11"/>
  <c r="KK8" i="11" l="1"/>
  <c r="KL7" i="11"/>
  <c r="KL8" i="11" l="1"/>
  <c r="KM7" i="11"/>
  <c r="KM6" i="11" l="1"/>
  <c r="KM8" i="11"/>
  <c r="KN7" i="11"/>
  <c r="KN8" i="11" l="1"/>
  <c r="KO7" i="11"/>
  <c r="KO8" i="11" l="1"/>
  <c r="KP7" i="11"/>
  <c r="KP8" i="11" l="1"/>
  <c r="KQ7" i="11"/>
  <c r="KQ8" i="11" l="1"/>
  <c r="KR7" i="11"/>
  <c r="KR8" i="11" l="1"/>
  <c r="KS7" i="11"/>
  <c r="KS8" i="11" l="1"/>
  <c r="KT7" i="11"/>
  <c r="KT6" i="11" l="1"/>
  <c r="KU7" i="11"/>
  <c r="KT8" i="11"/>
  <c r="KU8" i="11" l="1"/>
  <c r="KV7" i="11"/>
  <c r="KW7" i="11" l="1"/>
  <c r="KV8" i="11"/>
  <c r="KX7" i="11" l="1"/>
  <c r="KW8" i="11"/>
  <c r="KY7" i="11" l="1"/>
  <c r="KX8" i="11"/>
  <c r="KZ7" i="11" l="1"/>
  <c r="KZ8" i="11" s="1"/>
  <c r="KY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G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<sst xmlns="http://schemas.openxmlformats.org/spreadsheetml/2006/main" count="36" uniqueCount="36">
  <si>
    <t>Smart Imaging Detection in Football – Estatísticas avançadas em tempo real a partir da transmissão televisiva</t>
  </si>
  <si>
    <r>
      <rPr>
        <b/>
        <sz val="11"/>
        <color theme="1"/>
        <rFont val="Calibri"/>
        <family val="2"/>
        <scheme val="minor"/>
      </rPr>
      <t>Empresa / Instituição</t>
    </r>
    <r>
      <rPr>
        <sz val="11"/>
        <color theme="1"/>
        <rFont val="Calibri"/>
        <family val="2"/>
        <scheme val="minor"/>
      </rPr>
      <t>: FootAR, S.A.</t>
    </r>
  </si>
  <si>
    <t>Início:</t>
  </si>
  <si>
    <r>
      <rPr>
        <b/>
        <sz val="11"/>
        <color theme="1"/>
        <rFont val="Calibri"/>
        <family val="2"/>
        <scheme val="minor"/>
      </rPr>
      <t>Resp. Externo</t>
    </r>
    <r>
      <rPr>
        <sz val="11"/>
        <color theme="1"/>
        <rFont val="Calibri"/>
        <family val="2"/>
        <scheme val="minor"/>
      </rPr>
      <t>: Miguel Ribeiro e David Olim</t>
    </r>
  </si>
  <si>
    <t>Conclusão:</t>
  </si>
  <si>
    <r>
      <rPr>
        <b/>
        <sz val="11"/>
        <color theme="1"/>
        <rFont val="Calibri"/>
        <family val="2"/>
        <scheme val="minor"/>
      </rPr>
      <t>Resp. Interno</t>
    </r>
    <r>
      <rPr>
        <sz val="11"/>
        <color theme="1"/>
        <rFont val="Calibri"/>
        <family val="2"/>
        <scheme val="minor"/>
      </rPr>
      <t>: Prof. António Raimundo</t>
    </r>
  </si>
  <si>
    <r>
      <t>Aluno(s):</t>
    </r>
    <r>
      <rPr>
        <sz val="11"/>
        <color theme="1"/>
        <rFont val="Calibri"/>
        <family val="2"/>
        <scheme val="minor"/>
      </rPr>
      <t xml:space="preserve"> Rodrigo Caetano da Fonseca e Miguel Esteves Candeias</t>
    </r>
  </si>
  <si>
    <t>ATIVIDADE / TAREFA</t>
  </si>
  <si>
    <t>RESP.</t>
  </si>
  <si>
    <t>INÍCIO</t>
  </si>
  <si>
    <t>FIM</t>
  </si>
  <si>
    <t>DAYS</t>
  </si>
  <si>
    <t>A1. Levantamento de requisitos, revisão do estado-da-arte e definição da arquitetura (1º Semestre)</t>
  </si>
  <si>
    <t>TA1.1. Acolhimento, onboarding da equipa e definição de objetivos e KPIs</t>
  </si>
  <si>
    <t>TA1.2. Levantamento de requisitos funcionais e métricas-chave com a FootAR</t>
  </si>
  <si>
    <t>TA1.3. Revisão do estado-da-arte e análise de projetos-referência (SoccerNet, MatchTime, RoboFlow, PlayerTV)</t>
  </si>
  <si>
    <t>TA1.4. Definição da arquitetura base (YOLO/DETR + DeepSort/ByteTrack)</t>
  </si>
  <si>
    <t>TA1.5. Planeamento e design do pipeline inicial de correção de perspetiva</t>
  </si>
  <si>
    <t>A2. Protótipo de deteção e preparação do dataset (1º Semestre)</t>
  </si>
  <si>
    <t>TA2.1. Recolha e anotação de clips de jogos para treino e validação</t>
  </si>
  <si>
    <t>TA2.2. Implementação do protótipo de deteção de jogadores, bola e linhas de campo</t>
  </si>
  <si>
    <t>TA2.3. Integração inicial do pipeline de correção de perspetiva e mapeamento em coordenadas reais</t>
  </si>
  <si>
    <t>TA2.4. Testes de desempenho e métricas iniciais de precisão e recall</t>
  </si>
  <si>
    <t>TA2.5. Preparação do relatório intermédio com demonstração em pequenos lances</t>
  </si>
  <si>
    <t>TA2.6. Realização e entrega do relatório preliminar e demonstração funcional</t>
  </si>
  <si>
    <t>A3. Tracking multijogador e análise de estatísticas avançadas (2º Semestre)</t>
  </si>
  <si>
    <t>TA3.1. Implementação de tracking multijogador robusto (oclusões e múltiplas câmaras)</t>
  </si>
  <si>
    <t>TA3.2. Segmentação de equipas e arbitragem através de deteção de camisolas e números</t>
  </si>
  <si>
    <t>TA3.3. Cálculo de estatísticas avançadas: posse de bola, velocidades e heatmaps</t>
  </si>
  <si>
    <t>TA3.4. Implementação de diagramas de ataque e métricas táticas em tempo real</t>
  </si>
  <si>
    <t>A4. Deteção de eventos, dashboard web e entrega final (2º Semestre)</t>
  </si>
  <si>
    <t>TA4.1. Implementação de deteção automática de eventos de jogo (golos, remates, faltas, etc.)</t>
  </si>
  <si>
    <t>TA4.2. Desenvolvimento do dashboard web interativo (+ animação em 2D / 3D da jogada)</t>
  </si>
  <si>
    <t>TA4.3. Validação do sistema com jogos completos e testes de robustez</t>
  </si>
  <si>
    <t>TA4.4. Documentação técnica, manuais de utilização e plano de manutenção evolutiva</t>
  </si>
  <si>
    <t>TA4.5. Realização e entrega do relatório final e apresentação à FootAR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</si>
</sst>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 d\,\ yyyy"/>
    <numFmt numFmtId="165" formatCode="d"/>
    <numFmt numFmtId="166" formatCode="dd/mm/yy;@"/>
  </numFmts>
  <fonts count="18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9"/>
      <color theme="4" tint="-0.249977111117893"/>
      <name val="Arial"/>
      <family val="2"/>
    </font>
    <font>
      <b/>
      <sz val="18"/>
      <color theme="1" tint="0.34998626667073579"/>
      <name val="Calibri"/>
      <family val="2"/>
      <scheme val="maj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thin">
        <color theme="0" tint="-0.14993743705557422"/>
      </right>
      <top style="medium">
        <color theme="0" tint="-0.149967955565050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vertical="center"/>
    </xf>
    <xf numFmtId="0" fontId="6" fillId="10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 wrapText="1"/>
    </xf>
    <xf numFmtId="165" fontId="8" fillId="5" borderId="0" xfId="0" applyNumberFormat="1" applyFont="1" applyFill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  <xf numFmtId="165" fontId="8" fillId="5" borderId="6" xfId="0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2"/>
    </xf>
    <xf numFmtId="0" fontId="0" fillId="2" borderId="2" xfId="0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2"/>
    </xf>
    <xf numFmtId="0" fontId="0" fillId="3" borderId="2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indent="2"/>
    </xf>
    <xf numFmtId="0" fontId="0" fillId="8" borderId="2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3" fillId="0" borderId="0" xfId="1" applyFont="1" applyAlignment="1" applyProtection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/>
    </xf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horizontal="right" vertical="center"/>
    </xf>
    <xf numFmtId="0" fontId="0" fillId="11" borderId="0" xfId="0" applyFill="1"/>
    <xf numFmtId="0" fontId="0" fillId="11" borderId="0" xfId="0" applyFill="1" applyAlignment="1">
      <alignment horizontal="right" vertical="center"/>
    </xf>
    <xf numFmtId="0" fontId="0" fillId="11" borderId="0" xfId="0" applyFill="1" applyAlignment="1">
      <alignment horizontal="center"/>
    </xf>
    <xf numFmtId="0" fontId="5" fillId="11" borderId="0" xfId="0" applyFont="1" applyFill="1" applyAlignment="1">
      <alignment horizontal="right" vertical="center"/>
    </xf>
    <xf numFmtId="0" fontId="16" fillId="11" borderId="0" xfId="0" applyFont="1" applyFill="1" applyAlignment="1">
      <alignment horizontal="right" vertical="center"/>
    </xf>
    <xf numFmtId="14" fontId="4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166" fontId="0" fillId="6" borderId="2" xfId="0" applyNumberForma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2" borderId="13" xfId="0" applyNumberForma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6" fontId="4" fillId="3" borderId="13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6" fontId="4" fillId="4" borderId="13" xfId="0" applyNumberFormat="1" applyFont="1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166" fontId="0" fillId="13" borderId="2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166" fontId="0" fillId="14" borderId="2" xfId="0" applyNumberForma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 indent="1"/>
    </xf>
    <xf numFmtId="0" fontId="0" fillId="13" borderId="2" xfId="0" applyFill="1" applyBorder="1" applyAlignment="1">
      <alignment horizontal="left" vertical="center" indent="2"/>
    </xf>
    <xf numFmtId="0" fontId="0" fillId="15" borderId="2" xfId="0" applyFill="1" applyBorder="1" applyAlignment="1">
      <alignment horizontal="left" vertical="center" indent="2"/>
    </xf>
    <xf numFmtId="0" fontId="0" fillId="15" borderId="2" xfId="0" applyFill="1" applyBorder="1" applyAlignment="1">
      <alignment horizontal="center" vertical="center"/>
    </xf>
    <xf numFmtId="166" fontId="0" fillId="15" borderId="2" xfId="0" applyNumberFormat="1" applyFill="1" applyBorder="1" applyAlignment="1">
      <alignment horizontal="center" vertical="center"/>
    </xf>
    <xf numFmtId="0" fontId="17" fillId="12" borderId="0" xfId="0" applyFont="1" applyFill="1" applyAlignment="1">
      <alignment horizontal="left" vertical="center" wrapText="1"/>
    </xf>
    <xf numFmtId="164" fontId="0" fillId="5" borderId="3" xfId="0" applyNumberFormat="1" applyFill="1" applyBorder="1" applyAlignment="1">
      <alignment horizontal="left" vertical="center" wrapText="1" indent="1"/>
    </xf>
    <xf numFmtId="164" fontId="0" fillId="5" borderId="1" xfId="0" applyNumberFormat="1" applyFill="1" applyBorder="1" applyAlignment="1">
      <alignment horizontal="left" vertical="center" wrapText="1" indent="1"/>
    </xf>
    <xf numFmtId="164" fontId="0" fillId="5" borderId="4" xfId="0" applyNumberFormat="1" applyFill="1" applyBorder="1" applyAlignment="1">
      <alignment horizontal="left" vertical="center" wrapText="1" indent="1"/>
    </xf>
    <xf numFmtId="14" fontId="0" fillId="11" borderId="0" xfId="0" applyNumberFormat="1" applyFill="1" applyAlignment="1">
      <alignment horizontal="center" vertical="center"/>
    </xf>
    <xf numFmtId="14" fontId="4" fillId="11" borderId="0" xfId="0" applyNumberFormat="1" applyFont="1" applyFill="1" applyAlignment="1">
      <alignment horizontal="center" vertical="center"/>
    </xf>
    <xf numFmtId="0" fontId="13" fillId="0" borderId="0" xfId="1" applyFont="1" applyAlignment="1" applyProtection="1">
      <alignment horizontal="left" vertical="center"/>
    </xf>
  </cellXfs>
  <cellStyles count="2">
    <cellStyle name="Hiperligação" xfId="1" builtinId="8" customBuiltin="1"/>
    <cellStyle name="Normal" xfId="0" builtinId="0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Z32"/>
  <sheetViews>
    <sheetView showGridLines="0" tabSelected="1" showRuler="0" zoomScaleNormal="100" zoomScalePageLayoutView="70" workbookViewId="0">
      <pane xSplit="7" ySplit="8" topLeftCell="H9" activePane="bottomRight" state="frozen"/>
      <selection pane="bottomRight" activeCell="B24" sqref="B24"/>
      <selection pane="bottomLeft" activeCell="A7" sqref="A7"/>
      <selection pane="topRight" activeCell="H1" sqref="H1"/>
    </sheetView>
  </sheetViews>
  <sheetFormatPr defaultRowHeight="15"/>
  <cols>
    <col min="1" max="1" width="2.7109375" customWidth="1"/>
    <col min="2" max="2" width="105" bestFit="1" customWidth="1"/>
    <col min="3" max="3" width="11.42578125" bestFit="1" customWidth="1"/>
    <col min="4" max="4" width="12" style="3" customWidth="1"/>
    <col min="5" max="5" width="12" customWidth="1"/>
    <col min="6" max="6" width="2.7109375" customWidth="1"/>
    <col min="7" max="7" width="6.140625" hidden="1" customWidth="1"/>
    <col min="8" max="312" width="2.5703125" customWidth="1"/>
  </cols>
  <sheetData>
    <row r="1" spans="1:312" ht="26.25" customHeight="1">
      <c r="B1" s="67" t="s">
        <v>0</v>
      </c>
      <c r="C1" s="67"/>
      <c r="D1" s="67"/>
      <c r="E1" s="67"/>
      <c r="F1" s="67"/>
      <c r="G1" s="1"/>
      <c r="H1" s="5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312" ht="6" customHeight="1">
      <c r="B2" s="33"/>
      <c r="C2" s="34"/>
      <c r="D2" s="35"/>
      <c r="E2" s="36"/>
      <c r="F2" s="37"/>
      <c r="G2" s="1"/>
      <c r="H2" s="5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312" ht="19.5" customHeight="1">
      <c r="B3" s="43" t="s">
        <v>1</v>
      </c>
      <c r="C3" s="40" t="s">
        <v>2</v>
      </c>
      <c r="D3" s="71">
        <f>DATE(2025,9,16)</f>
        <v>45916</v>
      </c>
      <c r="E3" s="71"/>
      <c r="F3" s="37"/>
    </row>
    <row r="4" spans="1:312" ht="19.5" customHeight="1">
      <c r="B4" s="43" t="s">
        <v>3</v>
      </c>
      <c r="C4" s="41" t="s">
        <v>4</v>
      </c>
      <c r="D4" s="72">
        <f>DATE(2025,6,26)</f>
        <v>45834</v>
      </c>
      <c r="E4" s="72"/>
      <c r="F4" s="37"/>
    </row>
    <row r="5" spans="1:312" ht="19.5" customHeight="1">
      <c r="B5" s="43" t="s">
        <v>5</v>
      </c>
      <c r="C5" s="41"/>
      <c r="D5" s="42"/>
      <c r="E5" s="42"/>
      <c r="F5" s="37"/>
    </row>
    <row r="6" spans="1:312" ht="19.5" customHeight="1">
      <c r="B6" s="44" t="s">
        <v>6</v>
      </c>
      <c r="C6" s="37"/>
      <c r="D6" s="37"/>
      <c r="E6" s="37"/>
      <c r="F6" s="37"/>
      <c r="H6" s="68">
        <f>H7</f>
        <v>45908</v>
      </c>
      <c r="I6" s="69"/>
      <c r="J6" s="69"/>
      <c r="K6" s="69"/>
      <c r="L6" s="69"/>
      <c r="M6" s="69"/>
      <c r="N6" s="70"/>
      <c r="O6" s="68">
        <f>O7</f>
        <v>45915</v>
      </c>
      <c r="P6" s="69"/>
      <c r="Q6" s="69"/>
      <c r="R6" s="69"/>
      <c r="S6" s="69"/>
      <c r="T6" s="69"/>
      <c r="U6" s="70"/>
      <c r="V6" s="68">
        <f>V7</f>
        <v>45922</v>
      </c>
      <c r="W6" s="69"/>
      <c r="X6" s="69"/>
      <c r="Y6" s="69"/>
      <c r="Z6" s="69"/>
      <c r="AA6" s="69"/>
      <c r="AB6" s="70"/>
      <c r="AC6" s="68">
        <f>AC7</f>
        <v>45929</v>
      </c>
      <c r="AD6" s="69"/>
      <c r="AE6" s="69"/>
      <c r="AF6" s="69"/>
      <c r="AG6" s="69"/>
      <c r="AH6" s="69"/>
      <c r="AI6" s="70"/>
      <c r="AJ6" s="68">
        <f>AJ7</f>
        <v>45936</v>
      </c>
      <c r="AK6" s="69"/>
      <c r="AL6" s="69"/>
      <c r="AM6" s="69"/>
      <c r="AN6" s="69"/>
      <c r="AO6" s="69"/>
      <c r="AP6" s="70"/>
      <c r="AQ6" s="68">
        <f>AQ7</f>
        <v>45943</v>
      </c>
      <c r="AR6" s="69"/>
      <c r="AS6" s="69"/>
      <c r="AT6" s="69"/>
      <c r="AU6" s="69"/>
      <c r="AV6" s="69"/>
      <c r="AW6" s="70"/>
      <c r="AX6" s="68">
        <f>AX7</f>
        <v>45950</v>
      </c>
      <c r="AY6" s="69"/>
      <c r="AZ6" s="69"/>
      <c r="BA6" s="69"/>
      <c r="BB6" s="69"/>
      <c r="BC6" s="69"/>
      <c r="BD6" s="70"/>
      <c r="BE6" s="68">
        <f>BE7</f>
        <v>45957</v>
      </c>
      <c r="BF6" s="69"/>
      <c r="BG6" s="69"/>
      <c r="BH6" s="69"/>
      <c r="BI6" s="69"/>
      <c r="BJ6" s="69"/>
      <c r="BK6" s="70"/>
      <c r="BL6" s="68">
        <f>BL7</f>
        <v>45964</v>
      </c>
      <c r="BM6" s="69"/>
      <c r="BN6" s="69"/>
      <c r="BO6" s="69"/>
      <c r="BP6" s="69"/>
      <c r="BQ6" s="69"/>
      <c r="BR6" s="70"/>
      <c r="BS6" s="68">
        <f>BS7</f>
        <v>45971</v>
      </c>
      <c r="BT6" s="69"/>
      <c r="BU6" s="69"/>
      <c r="BV6" s="69"/>
      <c r="BW6" s="69"/>
      <c r="BX6" s="69"/>
      <c r="BY6" s="70"/>
      <c r="BZ6" s="68">
        <f t="shared" ref="BZ6" si="0">BZ7</f>
        <v>45978</v>
      </c>
      <c r="CA6" s="69"/>
      <c r="CB6" s="69"/>
      <c r="CC6" s="69"/>
      <c r="CD6" s="69"/>
      <c r="CE6" s="69"/>
      <c r="CF6" s="70"/>
      <c r="CG6" s="68">
        <f t="shared" ref="CG6" si="1">CG7</f>
        <v>45985</v>
      </c>
      <c r="CH6" s="69"/>
      <c r="CI6" s="69"/>
      <c r="CJ6" s="69"/>
      <c r="CK6" s="69"/>
      <c r="CL6" s="69"/>
      <c r="CM6" s="70"/>
      <c r="CN6" s="68">
        <f t="shared" ref="CN6" si="2">CN7</f>
        <v>45992</v>
      </c>
      <c r="CO6" s="69"/>
      <c r="CP6" s="69"/>
      <c r="CQ6" s="69"/>
      <c r="CR6" s="69"/>
      <c r="CS6" s="69"/>
      <c r="CT6" s="70"/>
      <c r="CU6" s="68">
        <f>CU7</f>
        <v>45999</v>
      </c>
      <c r="CV6" s="69"/>
      <c r="CW6" s="69"/>
      <c r="CX6" s="69"/>
      <c r="CY6" s="69"/>
      <c r="CZ6" s="69"/>
      <c r="DA6" s="70"/>
      <c r="DB6" s="68">
        <f>DB7</f>
        <v>46006</v>
      </c>
      <c r="DC6" s="69"/>
      <c r="DD6" s="69"/>
      <c r="DE6" s="69"/>
      <c r="DF6" s="69"/>
      <c r="DG6" s="69"/>
      <c r="DH6" s="70"/>
      <c r="DI6" s="68">
        <f>DI7</f>
        <v>46013</v>
      </c>
      <c r="DJ6" s="69"/>
      <c r="DK6" s="69"/>
      <c r="DL6" s="69"/>
      <c r="DM6" s="69"/>
      <c r="DN6" s="69"/>
      <c r="DO6" s="70"/>
      <c r="DP6" s="68">
        <f>DP7</f>
        <v>46020</v>
      </c>
      <c r="DQ6" s="69"/>
      <c r="DR6" s="69"/>
      <c r="DS6" s="69"/>
      <c r="DT6" s="69"/>
      <c r="DU6" s="69"/>
      <c r="DV6" s="70"/>
      <c r="DW6" s="68">
        <f>DW7</f>
        <v>46027</v>
      </c>
      <c r="DX6" s="69"/>
      <c r="DY6" s="69"/>
      <c r="DZ6" s="69"/>
      <c r="EA6" s="69"/>
      <c r="EB6" s="69"/>
      <c r="EC6" s="70"/>
      <c r="ED6" s="68">
        <f>ED7</f>
        <v>46034</v>
      </c>
      <c r="EE6" s="69"/>
      <c r="EF6" s="69"/>
      <c r="EG6" s="69"/>
      <c r="EH6" s="69"/>
      <c r="EI6" s="69"/>
      <c r="EJ6" s="70"/>
      <c r="EK6" s="68">
        <f>EK7</f>
        <v>46041</v>
      </c>
      <c r="EL6" s="69"/>
      <c r="EM6" s="69"/>
      <c r="EN6" s="69"/>
      <c r="EO6" s="69"/>
      <c r="EP6" s="69"/>
      <c r="EQ6" s="70"/>
      <c r="ER6" s="68">
        <f>ER7</f>
        <v>46048</v>
      </c>
      <c r="ES6" s="69"/>
      <c r="ET6" s="69"/>
      <c r="EU6" s="69"/>
      <c r="EV6" s="69"/>
      <c r="EW6" s="69"/>
      <c r="EX6" s="70"/>
      <c r="EY6" s="68">
        <f>EY7</f>
        <v>46055</v>
      </c>
      <c r="EZ6" s="69"/>
      <c r="FA6" s="69"/>
      <c r="FB6" s="69"/>
      <c r="FC6" s="69"/>
      <c r="FD6" s="69"/>
      <c r="FE6" s="70"/>
      <c r="FF6" s="68">
        <f>FF7</f>
        <v>46062</v>
      </c>
      <c r="FG6" s="69"/>
      <c r="FH6" s="69"/>
      <c r="FI6" s="69"/>
      <c r="FJ6" s="69"/>
      <c r="FK6" s="69"/>
      <c r="FL6" s="70"/>
      <c r="FM6" s="68">
        <f>FM7</f>
        <v>46069</v>
      </c>
      <c r="FN6" s="69"/>
      <c r="FO6" s="69"/>
      <c r="FP6" s="69"/>
      <c r="FQ6" s="69"/>
      <c r="FR6" s="69"/>
      <c r="FS6" s="70"/>
      <c r="FT6" s="68">
        <f>FT7</f>
        <v>46076</v>
      </c>
      <c r="FU6" s="69"/>
      <c r="FV6" s="69"/>
      <c r="FW6" s="69"/>
      <c r="FX6" s="69"/>
      <c r="FY6" s="69"/>
      <c r="FZ6" s="70"/>
      <c r="GA6" s="68">
        <f>GA7</f>
        <v>46083</v>
      </c>
      <c r="GB6" s="69"/>
      <c r="GC6" s="69"/>
      <c r="GD6" s="69"/>
      <c r="GE6" s="69"/>
      <c r="GF6" s="69"/>
      <c r="GG6" s="70"/>
      <c r="GH6" s="68">
        <f>GH7</f>
        <v>46090</v>
      </c>
      <c r="GI6" s="69"/>
      <c r="GJ6" s="69"/>
      <c r="GK6" s="69"/>
      <c r="GL6" s="69"/>
      <c r="GM6" s="69"/>
      <c r="GN6" s="70"/>
      <c r="GO6" s="68">
        <f>GO7</f>
        <v>46097</v>
      </c>
      <c r="GP6" s="69"/>
      <c r="GQ6" s="69"/>
      <c r="GR6" s="69"/>
      <c r="GS6" s="69"/>
      <c r="GT6" s="69"/>
      <c r="GU6" s="70"/>
      <c r="GV6" s="68">
        <f>GV7</f>
        <v>46104</v>
      </c>
      <c r="GW6" s="69"/>
      <c r="GX6" s="69"/>
      <c r="GY6" s="69"/>
      <c r="GZ6" s="69"/>
      <c r="HA6" s="69"/>
      <c r="HB6" s="70"/>
      <c r="HC6" s="68">
        <f>HC7</f>
        <v>46111</v>
      </c>
      <c r="HD6" s="69"/>
      <c r="HE6" s="69"/>
      <c r="HF6" s="69"/>
      <c r="HG6" s="69"/>
      <c r="HH6" s="69"/>
      <c r="HI6" s="70"/>
      <c r="HJ6" s="68">
        <f>HJ7</f>
        <v>46118</v>
      </c>
      <c r="HK6" s="69"/>
      <c r="HL6" s="69"/>
      <c r="HM6" s="69"/>
      <c r="HN6" s="69"/>
      <c r="HO6" s="69"/>
      <c r="HP6" s="70"/>
      <c r="HQ6" s="68">
        <f>HQ7</f>
        <v>46125</v>
      </c>
      <c r="HR6" s="69"/>
      <c r="HS6" s="69"/>
      <c r="HT6" s="69"/>
      <c r="HU6" s="69"/>
      <c r="HV6" s="69"/>
      <c r="HW6" s="70"/>
      <c r="HX6" s="68">
        <f>HX7</f>
        <v>46132</v>
      </c>
      <c r="HY6" s="69"/>
      <c r="HZ6" s="69"/>
      <c r="IA6" s="69"/>
      <c r="IB6" s="69"/>
      <c r="IC6" s="69"/>
      <c r="ID6" s="70"/>
      <c r="IE6" s="68">
        <f>IE7</f>
        <v>46139</v>
      </c>
      <c r="IF6" s="69"/>
      <c r="IG6" s="69"/>
      <c r="IH6" s="69"/>
      <c r="II6" s="69"/>
      <c r="IJ6" s="69"/>
      <c r="IK6" s="70"/>
      <c r="IL6" s="68">
        <f>IL7</f>
        <v>46146</v>
      </c>
      <c r="IM6" s="69"/>
      <c r="IN6" s="69"/>
      <c r="IO6" s="69"/>
      <c r="IP6" s="69"/>
      <c r="IQ6" s="69"/>
      <c r="IR6" s="70"/>
      <c r="IS6" s="68">
        <f>IS7</f>
        <v>46153</v>
      </c>
      <c r="IT6" s="69"/>
      <c r="IU6" s="69"/>
      <c r="IV6" s="69"/>
      <c r="IW6" s="69"/>
      <c r="IX6" s="69"/>
      <c r="IY6" s="70"/>
      <c r="IZ6" s="68">
        <f>IZ7</f>
        <v>46160</v>
      </c>
      <c r="JA6" s="69"/>
      <c r="JB6" s="69"/>
      <c r="JC6" s="69"/>
      <c r="JD6" s="69"/>
      <c r="JE6" s="69"/>
      <c r="JF6" s="70"/>
      <c r="JG6" s="68">
        <f>JG7</f>
        <v>46167</v>
      </c>
      <c r="JH6" s="69"/>
      <c r="JI6" s="69"/>
      <c r="JJ6" s="69"/>
      <c r="JK6" s="69"/>
      <c r="JL6" s="69"/>
      <c r="JM6" s="70"/>
      <c r="JN6" s="68">
        <f>JN7</f>
        <v>46174</v>
      </c>
      <c r="JO6" s="69"/>
      <c r="JP6" s="69"/>
      <c r="JQ6" s="69"/>
      <c r="JR6" s="69"/>
      <c r="JS6" s="69"/>
      <c r="JT6" s="70"/>
      <c r="JU6" s="68">
        <f>JU7</f>
        <v>46181</v>
      </c>
      <c r="JV6" s="69"/>
      <c r="JW6" s="69"/>
      <c r="JX6" s="69"/>
      <c r="JY6" s="69"/>
      <c r="JZ6" s="69"/>
      <c r="KA6" s="70"/>
      <c r="KB6" s="68">
        <f>KB7</f>
        <v>46188</v>
      </c>
      <c r="KC6" s="69"/>
      <c r="KD6" s="69"/>
      <c r="KE6" s="69"/>
      <c r="KF6" s="69"/>
      <c r="KG6" s="69"/>
      <c r="KH6" s="70"/>
      <c r="KM6" s="68">
        <f>KM7</f>
        <v>46199</v>
      </c>
      <c r="KN6" s="69"/>
      <c r="KO6" s="69"/>
      <c r="KP6" s="69"/>
      <c r="KQ6" s="69"/>
      <c r="KR6" s="69"/>
      <c r="KS6" s="70"/>
      <c r="KT6" s="68">
        <f>KT7</f>
        <v>46206</v>
      </c>
      <c r="KU6" s="69"/>
      <c r="KV6" s="69"/>
      <c r="KW6" s="69"/>
      <c r="KX6" s="69"/>
      <c r="KY6" s="69"/>
      <c r="KZ6" s="70"/>
    </row>
    <row r="7" spans="1:312" ht="25.5" customHeight="1">
      <c r="A7" s="4"/>
      <c r="B7" s="37"/>
      <c r="C7" s="37"/>
      <c r="D7" s="39"/>
      <c r="E7" s="37"/>
      <c r="F7" s="38"/>
      <c r="H7" s="9">
        <f>D3-WEEKDAY(D3,1)+2+7*(D6-1)</f>
        <v>45908</v>
      </c>
      <c r="I7" s="8">
        <f>H7+1</f>
        <v>45909</v>
      </c>
      <c r="J7" s="8">
        <f t="shared" ref="J7:AW7" si="3">I7+1</f>
        <v>45910</v>
      </c>
      <c r="K7" s="8">
        <f t="shared" si="3"/>
        <v>45911</v>
      </c>
      <c r="L7" s="8">
        <f t="shared" si="3"/>
        <v>45912</v>
      </c>
      <c r="M7" s="8">
        <f t="shared" si="3"/>
        <v>45913</v>
      </c>
      <c r="N7" s="10">
        <f t="shared" si="3"/>
        <v>45914</v>
      </c>
      <c r="O7" s="9">
        <f>N7+1</f>
        <v>45915</v>
      </c>
      <c r="P7" s="8">
        <f>O7+1</f>
        <v>45916</v>
      </c>
      <c r="Q7" s="8">
        <f t="shared" si="3"/>
        <v>45917</v>
      </c>
      <c r="R7" s="8">
        <f t="shared" si="3"/>
        <v>45918</v>
      </c>
      <c r="S7" s="8">
        <f t="shared" si="3"/>
        <v>45919</v>
      </c>
      <c r="T7" s="8">
        <f t="shared" si="3"/>
        <v>45920</v>
      </c>
      <c r="U7" s="10">
        <f t="shared" si="3"/>
        <v>45921</v>
      </c>
      <c r="V7" s="9">
        <f>U7+1</f>
        <v>45922</v>
      </c>
      <c r="W7" s="8">
        <f>V7+1</f>
        <v>45923</v>
      </c>
      <c r="X7" s="8">
        <f t="shared" si="3"/>
        <v>45924</v>
      </c>
      <c r="Y7" s="8">
        <f t="shared" si="3"/>
        <v>45925</v>
      </c>
      <c r="Z7" s="8">
        <f t="shared" si="3"/>
        <v>45926</v>
      </c>
      <c r="AA7" s="8">
        <f t="shared" si="3"/>
        <v>45927</v>
      </c>
      <c r="AB7" s="10">
        <f t="shared" si="3"/>
        <v>45928</v>
      </c>
      <c r="AC7" s="9">
        <f>AB7+1</f>
        <v>45929</v>
      </c>
      <c r="AD7" s="8">
        <f>AC7+1</f>
        <v>45930</v>
      </c>
      <c r="AE7" s="8">
        <f t="shared" si="3"/>
        <v>45931</v>
      </c>
      <c r="AF7" s="8">
        <f t="shared" si="3"/>
        <v>45932</v>
      </c>
      <c r="AG7" s="8">
        <f t="shared" si="3"/>
        <v>45933</v>
      </c>
      <c r="AH7" s="8">
        <f t="shared" si="3"/>
        <v>45934</v>
      </c>
      <c r="AI7" s="10">
        <f t="shared" si="3"/>
        <v>45935</v>
      </c>
      <c r="AJ7" s="9">
        <f>AI7+1</f>
        <v>45936</v>
      </c>
      <c r="AK7" s="8">
        <f>AJ7+1</f>
        <v>45937</v>
      </c>
      <c r="AL7" s="8">
        <f t="shared" si="3"/>
        <v>45938</v>
      </c>
      <c r="AM7" s="8">
        <f t="shared" si="3"/>
        <v>45939</v>
      </c>
      <c r="AN7" s="8">
        <f t="shared" si="3"/>
        <v>45940</v>
      </c>
      <c r="AO7" s="8">
        <f t="shared" si="3"/>
        <v>45941</v>
      </c>
      <c r="AP7" s="10">
        <f t="shared" si="3"/>
        <v>45942</v>
      </c>
      <c r="AQ7" s="9">
        <f>AP7+1</f>
        <v>45943</v>
      </c>
      <c r="AR7" s="8">
        <f>AQ7+1</f>
        <v>45944</v>
      </c>
      <c r="AS7" s="8">
        <f t="shared" si="3"/>
        <v>45945</v>
      </c>
      <c r="AT7" s="8">
        <f t="shared" si="3"/>
        <v>45946</v>
      </c>
      <c r="AU7" s="8">
        <f t="shared" si="3"/>
        <v>45947</v>
      </c>
      <c r="AV7" s="8">
        <f t="shared" si="3"/>
        <v>45948</v>
      </c>
      <c r="AW7" s="10">
        <f t="shared" si="3"/>
        <v>45949</v>
      </c>
      <c r="AX7" s="9">
        <f>AW7+1</f>
        <v>45950</v>
      </c>
      <c r="AY7" s="8">
        <f>AX7+1</f>
        <v>45951</v>
      </c>
      <c r="AZ7" s="8">
        <f t="shared" ref="AZ7:BD7" si="4">AY7+1</f>
        <v>45952</v>
      </c>
      <c r="BA7" s="8">
        <f t="shared" si="4"/>
        <v>45953</v>
      </c>
      <c r="BB7" s="8">
        <f t="shared" si="4"/>
        <v>45954</v>
      </c>
      <c r="BC7" s="8">
        <f t="shared" si="4"/>
        <v>45955</v>
      </c>
      <c r="BD7" s="10">
        <f t="shared" si="4"/>
        <v>45956</v>
      </c>
      <c r="BE7" s="9">
        <f>BD7+1</f>
        <v>45957</v>
      </c>
      <c r="BF7" s="8">
        <f>BE7+1</f>
        <v>45958</v>
      </c>
      <c r="BG7" s="8">
        <f t="shared" ref="BG7:BK7" si="5">BF7+1</f>
        <v>45959</v>
      </c>
      <c r="BH7" s="8">
        <f t="shared" si="5"/>
        <v>45960</v>
      </c>
      <c r="BI7" s="8">
        <f t="shared" si="5"/>
        <v>45961</v>
      </c>
      <c r="BJ7" s="8">
        <f t="shared" si="5"/>
        <v>45962</v>
      </c>
      <c r="BK7" s="10">
        <f t="shared" si="5"/>
        <v>45963</v>
      </c>
      <c r="BL7" s="9">
        <f>BK7+1</f>
        <v>45964</v>
      </c>
      <c r="BM7" s="8">
        <f>BL7+1</f>
        <v>45965</v>
      </c>
      <c r="BN7" s="8">
        <f t="shared" ref="BN7" si="6">BM7+1</f>
        <v>45966</v>
      </c>
      <c r="BO7" s="8">
        <f t="shared" ref="BO7" si="7">BN7+1</f>
        <v>45967</v>
      </c>
      <c r="BP7" s="8">
        <f t="shared" ref="BP7" si="8">BO7+1</f>
        <v>45968</v>
      </c>
      <c r="BQ7" s="8">
        <f t="shared" ref="BQ7" si="9">BP7+1</f>
        <v>45969</v>
      </c>
      <c r="BR7" s="10">
        <f t="shared" ref="BR7" si="10">BQ7+1</f>
        <v>45970</v>
      </c>
      <c r="BS7" s="9">
        <f>BR7+1</f>
        <v>45971</v>
      </c>
      <c r="BT7" s="8">
        <f>BS7+1</f>
        <v>45972</v>
      </c>
      <c r="BU7" s="8">
        <f t="shared" ref="BU7" si="11">BT7+1</f>
        <v>45973</v>
      </c>
      <c r="BV7" s="8">
        <f t="shared" ref="BV7" si="12">BU7+1</f>
        <v>45974</v>
      </c>
      <c r="BW7" s="8">
        <f t="shared" ref="BW7" si="13">BV7+1</f>
        <v>45975</v>
      </c>
      <c r="BX7" s="8">
        <f t="shared" ref="BX7" si="14">BW7+1</f>
        <v>45976</v>
      </c>
      <c r="BY7" s="10">
        <f t="shared" ref="BY7:CA7" si="15">BX7+1</f>
        <v>45977</v>
      </c>
      <c r="BZ7" s="9">
        <f t="shared" si="15"/>
        <v>45978</v>
      </c>
      <c r="CA7" s="8">
        <f t="shared" si="15"/>
        <v>45979</v>
      </c>
      <c r="CB7" s="8">
        <f t="shared" ref="CB7" si="16">CA7+1</f>
        <v>45980</v>
      </c>
      <c r="CC7" s="8">
        <f t="shared" ref="CC7" si="17">CB7+1</f>
        <v>45981</v>
      </c>
      <c r="CD7" s="8">
        <f t="shared" ref="CD7" si="18">CC7+1</f>
        <v>45982</v>
      </c>
      <c r="CE7" s="8">
        <f t="shared" ref="CE7" si="19">CD7+1</f>
        <v>45983</v>
      </c>
      <c r="CF7" s="10">
        <f t="shared" ref="CF7:CH7" si="20">CE7+1</f>
        <v>45984</v>
      </c>
      <c r="CG7" s="9">
        <f t="shared" si="20"/>
        <v>45985</v>
      </c>
      <c r="CH7" s="8">
        <f t="shared" si="20"/>
        <v>45986</v>
      </c>
      <c r="CI7" s="8">
        <f t="shared" ref="CI7" si="21">CH7+1</f>
        <v>45987</v>
      </c>
      <c r="CJ7" s="8">
        <f t="shared" ref="CJ7" si="22">CI7+1</f>
        <v>45988</v>
      </c>
      <c r="CK7" s="8">
        <f t="shared" ref="CK7" si="23">CJ7+1</f>
        <v>45989</v>
      </c>
      <c r="CL7" s="8">
        <f t="shared" ref="CL7" si="24">CK7+1</f>
        <v>45990</v>
      </c>
      <c r="CM7" s="10">
        <f t="shared" ref="CM7:CO7" si="25">CL7+1</f>
        <v>45991</v>
      </c>
      <c r="CN7" s="9">
        <f t="shared" si="25"/>
        <v>45992</v>
      </c>
      <c r="CO7" s="8">
        <f t="shared" si="25"/>
        <v>45993</v>
      </c>
      <c r="CP7" s="8">
        <f t="shared" ref="CP7" si="26">CO7+1</f>
        <v>45994</v>
      </c>
      <c r="CQ7" s="8">
        <f t="shared" ref="CQ7" si="27">CP7+1</f>
        <v>45995</v>
      </c>
      <c r="CR7" s="8">
        <f t="shared" ref="CR7" si="28">CQ7+1</f>
        <v>45996</v>
      </c>
      <c r="CS7" s="8">
        <f t="shared" ref="CS7" si="29">CR7+1</f>
        <v>45997</v>
      </c>
      <c r="CT7" s="10">
        <f t="shared" ref="CT7" si="30">CS7+1</f>
        <v>45998</v>
      </c>
      <c r="CU7" s="9">
        <f>CT7+1</f>
        <v>45999</v>
      </c>
      <c r="CV7" s="8">
        <f>CU7+1</f>
        <v>46000</v>
      </c>
      <c r="CW7" s="8">
        <f t="shared" ref="CW7" si="31">CV7+1</f>
        <v>46001</v>
      </c>
      <c r="CX7" s="8">
        <f t="shared" ref="CX7" si="32">CW7+1</f>
        <v>46002</v>
      </c>
      <c r="CY7" s="8">
        <f t="shared" ref="CY7" si="33">CX7+1</f>
        <v>46003</v>
      </c>
      <c r="CZ7" s="8">
        <f t="shared" ref="CZ7" si="34">CY7+1</f>
        <v>46004</v>
      </c>
      <c r="DA7" s="10">
        <f t="shared" ref="DA7" si="35">CZ7+1</f>
        <v>46005</v>
      </c>
      <c r="DB7" s="9">
        <f>DA7+1</f>
        <v>46006</v>
      </c>
      <c r="DC7" s="8">
        <f>DB7+1</f>
        <v>46007</v>
      </c>
      <c r="DD7" s="8">
        <f t="shared" ref="DD7" si="36">DC7+1</f>
        <v>46008</v>
      </c>
      <c r="DE7" s="8">
        <f t="shared" ref="DE7" si="37">DD7+1</f>
        <v>46009</v>
      </c>
      <c r="DF7" s="8">
        <f t="shared" ref="DF7" si="38">DE7+1</f>
        <v>46010</v>
      </c>
      <c r="DG7" s="8">
        <f t="shared" ref="DG7" si="39">DF7+1</f>
        <v>46011</v>
      </c>
      <c r="DH7" s="10">
        <f t="shared" ref="DH7" si="40">DG7+1</f>
        <v>46012</v>
      </c>
      <c r="DI7" s="9">
        <f>DH7+1</f>
        <v>46013</v>
      </c>
      <c r="DJ7" s="8">
        <f>DI7+1</f>
        <v>46014</v>
      </c>
      <c r="DK7" s="8">
        <f t="shared" ref="DK7" si="41">DJ7+1</f>
        <v>46015</v>
      </c>
      <c r="DL7" s="8">
        <f t="shared" ref="DL7" si="42">DK7+1</f>
        <v>46016</v>
      </c>
      <c r="DM7" s="8">
        <f t="shared" ref="DM7" si="43">DL7+1</f>
        <v>46017</v>
      </c>
      <c r="DN7" s="8">
        <f t="shared" ref="DN7" si="44">DM7+1</f>
        <v>46018</v>
      </c>
      <c r="DO7" s="10">
        <f t="shared" ref="DO7" si="45">DN7+1</f>
        <v>46019</v>
      </c>
      <c r="DP7" s="9">
        <f>DO7+1</f>
        <v>46020</v>
      </c>
      <c r="DQ7" s="8">
        <f>DP7+1</f>
        <v>46021</v>
      </c>
      <c r="DR7" s="8">
        <f t="shared" ref="DR7" si="46">DQ7+1</f>
        <v>46022</v>
      </c>
      <c r="DS7" s="8">
        <f t="shared" ref="DS7" si="47">DR7+1</f>
        <v>46023</v>
      </c>
      <c r="DT7" s="8">
        <f t="shared" ref="DT7" si="48">DS7+1</f>
        <v>46024</v>
      </c>
      <c r="DU7" s="8">
        <f t="shared" ref="DU7" si="49">DT7+1</f>
        <v>46025</v>
      </c>
      <c r="DV7" s="10">
        <f t="shared" ref="DV7" si="50">DU7+1</f>
        <v>46026</v>
      </c>
      <c r="DW7" s="9">
        <f>DV7+1</f>
        <v>46027</v>
      </c>
      <c r="DX7" s="8">
        <f>DW7+1</f>
        <v>46028</v>
      </c>
      <c r="DY7" s="8">
        <f t="shared" ref="DY7" si="51">DX7+1</f>
        <v>46029</v>
      </c>
      <c r="DZ7" s="8">
        <f t="shared" ref="DZ7" si="52">DY7+1</f>
        <v>46030</v>
      </c>
      <c r="EA7" s="8">
        <f t="shared" ref="EA7" si="53">DZ7+1</f>
        <v>46031</v>
      </c>
      <c r="EB7" s="8">
        <f t="shared" ref="EB7" si="54">EA7+1</f>
        <v>46032</v>
      </c>
      <c r="EC7" s="10">
        <f t="shared" ref="EC7" si="55">EB7+1</f>
        <v>46033</v>
      </c>
      <c r="ED7" s="9">
        <f>EC7+1</f>
        <v>46034</v>
      </c>
      <c r="EE7" s="8">
        <f>ED7+1</f>
        <v>46035</v>
      </c>
      <c r="EF7" s="8">
        <f t="shared" ref="EF7" si="56">EE7+1</f>
        <v>46036</v>
      </c>
      <c r="EG7" s="8">
        <f t="shared" ref="EG7" si="57">EF7+1</f>
        <v>46037</v>
      </c>
      <c r="EH7" s="8">
        <f t="shared" ref="EH7" si="58">EG7+1</f>
        <v>46038</v>
      </c>
      <c r="EI7" s="8">
        <f t="shared" ref="EI7" si="59">EH7+1</f>
        <v>46039</v>
      </c>
      <c r="EJ7" s="10">
        <f t="shared" ref="EJ7" si="60">EI7+1</f>
        <v>46040</v>
      </c>
      <c r="EK7" s="9">
        <f>EJ7+1</f>
        <v>46041</v>
      </c>
      <c r="EL7" s="8">
        <f>EK7+1</f>
        <v>46042</v>
      </c>
      <c r="EM7" s="8">
        <f t="shared" ref="EM7" si="61">EL7+1</f>
        <v>46043</v>
      </c>
      <c r="EN7" s="8">
        <f t="shared" ref="EN7" si="62">EM7+1</f>
        <v>46044</v>
      </c>
      <c r="EO7" s="8">
        <f t="shared" ref="EO7" si="63">EN7+1</f>
        <v>46045</v>
      </c>
      <c r="EP7" s="8">
        <f t="shared" ref="EP7" si="64">EO7+1</f>
        <v>46046</v>
      </c>
      <c r="EQ7" s="10">
        <f t="shared" ref="EQ7" si="65">EP7+1</f>
        <v>46047</v>
      </c>
      <c r="ER7" s="9">
        <f>EQ7+1</f>
        <v>46048</v>
      </c>
      <c r="ES7" s="8">
        <f>ER7+1</f>
        <v>46049</v>
      </c>
      <c r="ET7" s="8">
        <f t="shared" ref="ET7" si="66">ES7+1</f>
        <v>46050</v>
      </c>
      <c r="EU7" s="8">
        <f t="shared" ref="EU7" si="67">ET7+1</f>
        <v>46051</v>
      </c>
      <c r="EV7" s="8">
        <f t="shared" ref="EV7" si="68">EU7+1</f>
        <v>46052</v>
      </c>
      <c r="EW7" s="8">
        <f t="shared" ref="EW7" si="69">EV7+1</f>
        <v>46053</v>
      </c>
      <c r="EX7" s="10">
        <f t="shared" ref="EX7" si="70">EW7+1</f>
        <v>46054</v>
      </c>
      <c r="EY7" s="9">
        <f>EX7+1</f>
        <v>46055</v>
      </c>
      <c r="EZ7" s="8">
        <f>EY7+1</f>
        <v>46056</v>
      </c>
      <c r="FA7" s="8">
        <f t="shared" ref="FA7" si="71">EZ7+1</f>
        <v>46057</v>
      </c>
      <c r="FB7" s="8">
        <f t="shared" ref="FB7" si="72">FA7+1</f>
        <v>46058</v>
      </c>
      <c r="FC7" s="8">
        <f t="shared" ref="FC7" si="73">FB7+1</f>
        <v>46059</v>
      </c>
      <c r="FD7" s="8">
        <f t="shared" ref="FD7" si="74">FC7+1</f>
        <v>46060</v>
      </c>
      <c r="FE7" s="10">
        <f t="shared" ref="FE7" si="75">FD7+1</f>
        <v>46061</v>
      </c>
      <c r="FF7" s="9">
        <f>FE7+1</f>
        <v>46062</v>
      </c>
      <c r="FG7" s="8">
        <f>FF7+1</f>
        <v>46063</v>
      </c>
      <c r="FH7" s="8">
        <f t="shared" ref="FH7" si="76">FG7+1</f>
        <v>46064</v>
      </c>
      <c r="FI7" s="8">
        <f t="shared" ref="FI7" si="77">FH7+1</f>
        <v>46065</v>
      </c>
      <c r="FJ7" s="8">
        <f t="shared" ref="FJ7" si="78">FI7+1</f>
        <v>46066</v>
      </c>
      <c r="FK7" s="8">
        <f t="shared" ref="FK7" si="79">FJ7+1</f>
        <v>46067</v>
      </c>
      <c r="FL7" s="10">
        <f t="shared" ref="FL7" si="80">FK7+1</f>
        <v>46068</v>
      </c>
      <c r="FM7" s="9">
        <f>FL7+1</f>
        <v>46069</v>
      </c>
      <c r="FN7" s="8">
        <f>FM7+1</f>
        <v>46070</v>
      </c>
      <c r="FO7" s="8">
        <f t="shared" ref="FO7" si="81">FN7+1</f>
        <v>46071</v>
      </c>
      <c r="FP7" s="8">
        <f t="shared" ref="FP7" si="82">FO7+1</f>
        <v>46072</v>
      </c>
      <c r="FQ7" s="8">
        <f t="shared" ref="FQ7" si="83">FP7+1</f>
        <v>46073</v>
      </c>
      <c r="FR7" s="8">
        <f t="shared" ref="FR7" si="84">FQ7+1</f>
        <v>46074</v>
      </c>
      <c r="FS7" s="10">
        <f t="shared" ref="FS7" si="85">FR7+1</f>
        <v>46075</v>
      </c>
      <c r="FT7" s="9">
        <f>FS7+1</f>
        <v>46076</v>
      </c>
      <c r="FU7" s="8">
        <f>FT7+1</f>
        <v>46077</v>
      </c>
      <c r="FV7" s="8">
        <f t="shared" ref="FV7" si="86">FU7+1</f>
        <v>46078</v>
      </c>
      <c r="FW7" s="8">
        <f t="shared" ref="FW7" si="87">FV7+1</f>
        <v>46079</v>
      </c>
      <c r="FX7" s="8">
        <f t="shared" ref="FX7" si="88">FW7+1</f>
        <v>46080</v>
      </c>
      <c r="FY7" s="8">
        <f t="shared" ref="FY7" si="89">FX7+1</f>
        <v>46081</v>
      </c>
      <c r="FZ7" s="10">
        <f t="shared" ref="FZ7" si="90">FY7+1</f>
        <v>46082</v>
      </c>
      <c r="GA7" s="9">
        <f>FZ7+1</f>
        <v>46083</v>
      </c>
      <c r="GB7" s="8">
        <f>GA7+1</f>
        <v>46084</v>
      </c>
      <c r="GC7" s="8">
        <f t="shared" ref="GC7" si="91">GB7+1</f>
        <v>46085</v>
      </c>
      <c r="GD7" s="8">
        <f t="shared" ref="GD7" si="92">GC7+1</f>
        <v>46086</v>
      </c>
      <c r="GE7" s="8">
        <f t="shared" ref="GE7" si="93">GD7+1</f>
        <v>46087</v>
      </c>
      <c r="GF7" s="8">
        <f t="shared" ref="GF7" si="94">GE7+1</f>
        <v>46088</v>
      </c>
      <c r="GG7" s="10">
        <f t="shared" ref="GG7" si="95">GF7+1</f>
        <v>46089</v>
      </c>
      <c r="GH7" s="9">
        <f>GG7+1</f>
        <v>46090</v>
      </c>
      <c r="GI7" s="8">
        <f>GH7+1</f>
        <v>46091</v>
      </c>
      <c r="GJ7" s="8">
        <f t="shared" ref="GJ7" si="96">GI7+1</f>
        <v>46092</v>
      </c>
      <c r="GK7" s="8">
        <f t="shared" ref="GK7" si="97">GJ7+1</f>
        <v>46093</v>
      </c>
      <c r="GL7" s="8">
        <f t="shared" ref="GL7" si="98">GK7+1</f>
        <v>46094</v>
      </c>
      <c r="GM7" s="8">
        <f t="shared" ref="GM7" si="99">GL7+1</f>
        <v>46095</v>
      </c>
      <c r="GN7" s="10">
        <f t="shared" ref="GN7" si="100">GM7+1</f>
        <v>46096</v>
      </c>
      <c r="GO7" s="9">
        <f>GN7+1</f>
        <v>46097</v>
      </c>
      <c r="GP7" s="8">
        <f>GO7+1</f>
        <v>46098</v>
      </c>
      <c r="GQ7" s="8">
        <f t="shared" ref="GQ7" si="101">GP7+1</f>
        <v>46099</v>
      </c>
      <c r="GR7" s="8">
        <f t="shared" ref="GR7" si="102">GQ7+1</f>
        <v>46100</v>
      </c>
      <c r="GS7" s="8">
        <f t="shared" ref="GS7" si="103">GR7+1</f>
        <v>46101</v>
      </c>
      <c r="GT7" s="8">
        <f t="shared" ref="GT7" si="104">GS7+1</f>
        <v>46102</v>
      </c>
      <c r="GU7" s="10">
        <f t="shared" ref="GU7" si="105">GT7+1</f>
        <v>46103</v>
      </c>
      <c r="GV7" s="9">
        <f>GU7+1</f>
        <v>46104</v>
      </c>
      <c r="GW7" s="8">
        <f>GV7+1</f>
        <v>46105</v>
      </c>
      <c r="GX7" s="8">
        <f t="shared" ref="GX7" si="106">GW7+1</f>
        <v>46106</v>
      </c>
      <c r="GY7" s="8">
        <f t="shared" ref="GY7" si="107">GX7+1</f>
        <v>46107</v>
      </c>
      <c r="GZ7" s="8">
        <f t="shared" ref="GZ7" si="108">GY7+1</f>
        <v>46108</v>
      </c>
      <c r="HA7" s="8">
        <f t="shared" ref="HA7" si="109">GZ7+1</f>
        <v>46109</v>
      </c>
      <c r="HB7" s="10">
        <f t="shared" ref="HB7" si="110">HA7+1</f>
        <v>46110</v>
      </c>
      <c r="HC7" s="9">
        <f>HB7+1</f>
        <v>46111</v>
      </c>
      <c r="HD7" s="8">
        <f>HC7+1</f>
        <v>46112</v>
      </c>
      <c r="HE7" s="8">
        <f t="shared" ref="HE7" si="111">HD7+1</f>
        <v>46113</v>
      </c>
      <c r="HF7" s="8">
        <f t="shared" ref="HF7" si="112">HE7+1</f>
        <v>46114</v>
      </c>
      <c r="HG7" s="8">
        <f t="shared" ref="HG7" si="113">HF7+1</f>
        <v>46115</v>
      </c>
      <c r="HH7" s="8">
        <f t="shared" ref="HH7" si="114">HG7+1</f>
        <v>46116</v>
      </c>
      <c r="HI7" s="10">
        <f t="shared" ref="HI7" si="115">HH7+1</f>
        <v>46117</v>
      </c>
      <c r="HJ7" s="9">
        <f>HI7+1</f>
        <v>46118</v>
      </c>
      <c r="HK7" s="8">
        <f>HJ7+1</f>
        <v>46119</v>
      </c>
      <c r="HL7" s="8">
        <f t="shared" ref="HL7" si="116">HK7+1</f>
        <v>46120</v>
      </c>
      <c r="HM7" s="8">
        <f t="shared" ref="HM7" si="117">HL7+1</f>
        <v>46121</v>
      </c>
      <c r="HN7" s="8">
        <f t="shared" ref="HN7" si="118">HM7+1</f>
        <v>46122</v>
      </c>
      <c r="HO7" s="8">
        <f t="shared" ref="HO7" si="119">HN7+1</f>
        <v>46123</v>
      </c>
      <c r="HP7" s="10">
        <f t="shared" ref="HP7" si="120">HO7+1</f>
        <v>46124</v>
      </c>
      <c r="HQ7" s="9">
        <f>HP7+1</f>
        <v>46125</v>
      </c>
      <c r="HR7" s="8">
        <f>HQ7+1</f>
        <v>46126</v>
      </c>
      <c r="HS7" s="8">
        <f t="shared" ref="HS7" si="121">HR7+1</f>
        <v>46127</v>
      </c>
      <c r="HT7" s="8">
        <f t="shared" ref="HT7" si="122">HS7+1</f>
        <v>46128</v>
      </c>
      <c r="HU7" s="8">
        <f t="shared" ref="HU7" si="123">HT7+1</f>
        <v>46129</v>
      </c>
      <c r="HV7" s="8">
        <f t="shared" ref="HV7" si="124">HU7+1</f>
        <v>46130</v>
      </c>
      <c r="HW7" s="10">
        <f t="shared" ref="HW7" si="125">HV7+1</f>
        <v>46131</v>
      </c>
      <c r="HX7" s="9">
        <f>HW7+1</f>
        <v>46132</v>
      </c>
      <c r="HY7" s="8">
        <f>HX7+1</f>
        <v>46133</v>
      </c>
      <c r="HZ7" s="8">
        <f t="shared" ref="HZ7" si="126">HY7+1</f>
        <v>46134</v>
      </c>
      <c r="IA7" s="8">
        <f t="shared" ref="IA7" si="127">HZ7+1</f>
        <v>46135</v>
      </c>
      <c r="IB7" s="8">
        <f t="shared" ref="IB7" si="128">IA7+1</f>
        <v>46136</v>
      </c>
      <c r="IC7" s="8">
        <f t="shared" ref="IC7" si="129">IB7+1</f>
        <v>46137</v>
      </c>
      <c r="ID7" s="10">
        <f t="shared" ref="ID7" si="130">IC7+1</f>
        <v>46138</v>
      </c>
      <c r="IE7" s="9">
        <f>ID7+1</f>
        <v>46139</v>
      </c>
      <c r="IF7" s="8">
        <f>IE7+1</f>
        <v>46140</v>
      </c>
      <c r="IG7" s="8">
        <f t="shared" ref="IG7" si="131">IF7+1</f>
        <v>46141</v>
      </c>
      <c r="IH7" s="8">
        <f t="shared" ref="IH7" si="132">IG7+1</f>
        <v>46142</v>
      </c>
      <c r="II7" s="8">
        <f t="shared" ref="II7" si="133">IH7+1</f>
        <v>46143</v>
      </c>
      <c r="IJ7" s="8">
        <f t="shared" ref="IJ7" si="134">II7+1</f>
        <v>46144</v>
      </c>
      <c r="IK7" s="10">
        <f t="shared" ref="IK7" si="135">IJ7+1</f>
        <v>46145</v>
      </c>
      <c r="IL7" s="9">
        <f>IK7+1</f>
        <v>46146</v>
      </c>
      <c r="IM7" s="8">
        <f>IL7+1</f>
        <v>46147</v>
      </c>
      <c r="IN7" s="8">
        <f t="shared" ref="IN7" si="136">IM7+1</f>
        <v>46148</v>
      </c>
      <c r="IO7" s="8">
        <f t="shared" ref="IO7" si="137">IN7+1</f>
        <v>46149</v>
      </c>
      <c r="IP7" s="8">
        <f t="shared" ref="IP7" si="138">IO7+1</f>
        <v>46150</v>
      </c>
      <c r="IQ7" s="8">
        <f t="shared" ref="IQ7" si="139">IP7+1</f>
        <v>46151</v>
      </c>
      <c r="IR7" s="10">
        <f t="shared" ref="IR7" si="140">IQ7+1</f>
        <v>46152</v>
      </c>
      <c r="IS7" s="9">
        <f>IR7+1</f>
        <v>46153</v>
      </c>
      <c r="IT7" s="8">
        <f>IS7+1</f>
        <v>46154</v>
      </c>
      <c r="IU7" s="8">
        <f t="shared" ref="IU7" si="141">IT7+1</f>
        <v>46155</v>
      </c>
      <c r="IV7" s="8">
        <f t="shared" ref="IV7" si="142">IU7+1</f>
        <v>46156</v>
      </c>
      <c r="IW7" s="8">
        <f t="shared" ref="IW7" si="143">IV7+1</f>
        <v>46157</v>
      </c>
      <c r="IX7" s="8">
        <f t="shared" ref="IX7" si="144">IW7+1</f>
        <v>46158</v>
      </c>
      <c r="IY7" s="10">
        <f t="shared" ref="IY7" si="145">IX7+1</f>
        <v>46159</v>
      </c>
      <c r="IZ7" s="9">
        <f>IY7+1</f>
        <v>46160</v>
      </c>
      <c r="JA7" s="8">
        <f>IZ7+1</f>
        <v>46161</v>
      </c>
      <c r="JB7" s="8">
        <f t="shared" ref="JB7" si="146">JA7+1</f>
        <v>46162</v>
      </c>
      <c r="JC7" s="8">
        <f t="shared" ref="JC7" si="147">JB7+1</f>
        <v>46163</v>
      </c>
      <c r="JD7" s="8">
        <f t="shared" ref="JD7" si="148">JC7+1</f>
        <v>46164</v>
      </c>
      <c r="JE7" s="8">
        <f t="shared" ref="JE7" si="149">JD7+1</f>
        <v>46165</v>
      </c>
      <c r="JF7" s="10">
        <f t="shared" ref="JF7" si="150">JE7+1</f>
        <v>46166</v>
      </c>
      <c r="JG7" s="9">
        <f>JF7+1</f>
        <v>46167</v>
      </c>
      <c r="JH7" s="8">
        <f>JG7+1</f>
        <v>46168</v>
      </c>
      <c r="JI7" s="8">
        <f t="shared" ref="JI7" si="151">JH7+1</f>
        <v>46169</v>
      </c>
      <c r="JJ7" s="8">
        <f t="shared" ref="JJ7" si="152">JI7+1</f>
        <v>46170</v>
      </c>
      <c r="JK7" s="8">
        <f t="shared" ref="JK7" si="153">JJ7+1</f>
        <v>46171</v>
      </c>
      <c r="JL7" s="8">
        <f t="shared" ref="JL7" si="154">JK7+1</f>
        <v>46172</v>
      </c>
      <c r="JM7" s="10">
        <f t="shared" ref="JM7" si="155">JL7+1</f>
        <v>46173</v>
      </c>
      <c r="JN7" s="9">
        <f>JM7+1</f>
        <v>46174</v>
      </c>
      <c r="JO7" s="8">
        <f>JN7+1</f>
        <v>46175</v>
      </c>
      <c r="JP7" s="8">
        <f t="shared" ref="JP7" si="156">JO7+1</f>
        <v>46176</v>
      </c>
      <c r="JQ7" s="8">
        <f t="shared" ref="JQ7" si="157">JP7+1</f>
        <v>46177</v>
      </c>
      <c r="JR7" s="8">
        <f t="shared" ref="JR7" si="158">JQ7+1</f>
        <v>46178</v>
      </c>
      <c r="JS7" s="8">
        <f t="shared" ref="JS7" si="159">JR7+1</f>
        <v>46179</v>
      </c>
      <c r="JT7" s="10">
        <f t="shared" ref="JT7" si="160">JS7+1</f>
        <v>46180</v>
      </c>
      <c r="JU7" s="9">
        <f>JT7+1</f>
        <v>46181</v>
      </c>
      <c r="JV7" s="8">
        <f>JU7+1</f>
        <v>46182</v>
      </c>
      <c r="JW7" s="8">
        <f t="shared" ref="JW7" si="161">JV7+1</f>
        <v>46183</v>
      </c>
      <c r="JX7" s="8">
        <f t="shared" ref="JX7" si="162">JW7+1</f>
        <v>46184</v>
      </c>
      <c r="JY7" s="8">
        <f t="shared" ref="JY7" si="163">JX7+1</f>
        <v>46185</v>
      </c>
      <c r="JZ7" s="8">
        <f t="shared" ref="JZ7" si="164">JY7+1</f>
        <v>46186</v>
      </c>
      <c r="KA7" s="10">
        <f t="shared" ref="KA7" si="165">JZ7+1</f>
        <v>46187</v>
      </c>
      <c r="KB7" s="9">
        <f>KA7+1</f>
        <v>46188</v>
      </c>
      <c r="KC7" s="8">
        <f>KB7+1</f>
        <v>46189</v>
      </c>
      <c r="KD7" s="8">
        <f t="shared" ref="KD7" si="166">KC7+1</f>
        <v>46190</v>
      </c>
      <c r="KE7" s="8">
        <f t="shared" ref="KE7" si="167">KD7+1</f>
        <v>46191</v>
      </c>
      <c r="KF7" s="8">
        <f t="shared" ref="KF7" si="168">KE7+1</f>
        <v>46192</v>
      </c>
      <c r="KG7" s="8">
        <f t="shared" ref="KG7" si="169">KF7+1</f>
        <v>46193</v>
      </c>
      <c r="KH7" s="10">
        <f t="shared" ref="KH7" si="170">KG7+1</f>
        <v>46194</v>
      </c>
      <c r="KI7" s="8">
        <f t="shared" ref="KI7" si="171">KH7+1</f>
        <v>46195</v>
      </c>
      <c r="KJ7" s="8">
        <f t="shared" ref="KJ7" si="172">KI7+1</f>
        <v>46196</v>
      </c>
      <c r="KK7" s="8">
        <f t="shared" ref="KK7" si="173">KJ7+1</f>
        <v>46197</v>
      </c>
      <c r="KL7" s="10">
        <f t="shared" ref="KL7" si="174">KK7+1</f>
        <v>46198</v>
      </c>
      <c r="KM7" s="9">
        <f>KL7+1</f>
        <v>46199</v>
      </c>
      <c r="KN7" s="8">
        <f>KM7+1</f>
        <v>46200</v>
      </c>
      <c r="KO7" s="8">
        <f t="shared" ref="KO7" si="175">KN7+1</f>
        <v>46201</v>
      </c>
      <c r="KP7" s="8">
        <f t="shared" ref="KP7" si="176">KO7+1</f>
        <v>46202</v>
      </c>
      <c r="KQ7" s="8">
        <f t="shared" ref="KQ7" si="177">KP7+1</f>
        <v>46203</v>
      </c>
      <c r="KR7" s="8">
        <f t="shared" ref="KR7" si="178">KQ7+1</f>
        <v>46204</v>
      </c>
      <c r="KS7" s="10">
        <f t="shared" ref="KS7" si="179">KR7+1</f>
        <v>46205</v>
      </c>
      <c r="KT7" s="9">
        <f>KS7+1</f>
        <v>46206</v>
      </c>
      <c r="KU7" s="8">
        <f>KT7+1</f>
        <v>46207</v>
      </c>
      <c r="KV7" s="8">
        <f t="shared" ref="KV7" si="180">KU7+1</f>
        <v>46208</v>
      </c>
      <c r="KW7" s="8">
        <f t="shared" ref="KW7" si="181">KV7+1</f>
        <v>46209</v>
      </c>
      <c r="KX7" s="8">
        <f t="shared" ref="KX7" si="182">KW7+1</f>
        <v>46210</v>
      </c>
      <c r="KY7" s="8">
        <f t="shared" ref="KY7" si="183">KX7+1</f>
        <v>46211</v>
      </c>
      <c r="KZ7" s="10">
        <f t="shared" ref="KZ7" si="184">KY7+1</f>
        <v>46212</v>
      </c>
    </row>
    <row r="8" spans="1:312" ht="29.25" customHeight="1" thickBot="1">
      <c r="A8" s="12"/>
      <c r="B8" s="6" t="s">
        <v>7</v>
      </c>
      <c r="C8" s="7" t="s">
        <v>8</v>
      </c>
      <c r="D8" s="7" t="s">
        <v>9</v>
      </c>
      <c r="E8" s="7" t="s">
        <v>10</v>
      </c>
      <c r="F8" s="7"/>
      <c r="G8" s="7" t="s">
        <v>11</v>
      </c>
      <c r="H8" s="11" t="str">
        <f t="shared" ref="H8" si="185">LEFT(TEXT(H7,"ddd"),1)</f>
        <v>s</v>
      </c>
      <c r="I8" s="11" t="str">
        <f t="shared" ref="I8:AQ8" si="186">LEFT(TEXT(I7,"ddd"),1)</f>
        <v>t</v>
      </c>
      <c r="J8" s="11" t="str">
        <f t="shared" si="186"/>
        <v>q</v>
      </c>
      <c r="K8" s="11" t="str">
        <f t="shared" si="186"/>
        <v>q</v>
      </c>
      <c r="L8" s="11" t="str">
        <f t="shared" si="186"/>
        <v>s</v>
      </c>
      <c r="M8" s="11" t="str">
        <f t="shared" si="186"/>
        <v>s</v>
      </c>
      <c r="N8" s="11" t="str">
        <f t="shared" si="186"/>
        <v>d</v>
      </c>
      <c r="O8" s="11" t="str">
        <f t="shared" si="186"/>
        <v>s</v>
      </c>
      <c r="P8" s="11" t="str">
        <f t="shared" si="186"/>
        <v>t</v>
      </c>
      <c r="Q8" s="11" t="str">
        <f t="shared" si="186"/>
        <v>q</v>
      </c>
      <c r="R8" s="11" t="str">
        <f t="shared" si="186"/>
        <v>q</v>
      </c>
      <c r="S8" s="11" t="str">
        <f t="shared" si="186"/>
        <v>s</v>
      </c>
      <c r="T8" s="11" t="str">
        <f t="shared" si="186"/>
        <v>s</v>
      </c>
      <c r="U8" s="11" t="str">
        <f t="shared" si="186"/>
        <v>d</v>
      </c>
      <c r="V8" s="11" t="str">
        <f t="shared" si="186"/>
        <v>s</v>
      </c>
      <c r="W8" s="11" t="str">
        <f t="shared" si="186"/>
        <v>t</v>
      </c>
      <c r="X8" s="11" t="str">
        <f t="shared" si="186"/>
        <v>q</v>
      </c>
      <c r="Y8" s="11" t="str">
        <f t="shared" si="186"/>
        <v>q</v>
      </c>
      <c r="Z8" s="11" t="str">
        <f t="shared" si="186"/>
        <v>s</v>
      </c>
      <c r="AA8" s="11" t="str">
        <f t="shared" si="186"/>
        <v>s</v>
      </c>
      <c r="AB8" s="11" t="str">
        <f t="shared" si="186"/>
        <v>d</v>
      </c>
      <c r="AC8" s="11" t="str">
        <f t="shared" si="186"/>
        <v>s</v>
      </c>
      <c r="AD8" s="11" t="str">
        <f t="shared" si="186"/>
        <v>t</v>
      </c>
      <c r="AE8" s="11" t="str">
        <f t="shared" si="186"/>
        <v>q</v>
      </c>
      <c r="AF8" s="11" t="str">
        <f t="shared" si="186"/>
        <v>q</v>
      </c>
      <c r="AG8" s="11" t="str">
        <f t="shared" si="186"/>
        <v>s</v>
      </c>
      <c r="AH8" s="11" t="str">
        <f t="shared" si="186"/>
        <v>s</v>
      </c>
      <c r="AI8" s="11" t="str">
        <f t="shared" si="186"/>
        <v>d</v>
      </c>
      <c r="AJ8" s="11" t="str">
        <f t="shared" si="186"/>
        <v>s</v>
      </c>
      <c r="AK8" s="11" t="str">
        <f t="shared" si="186"/>
        <v>t</v>
      </c>
      <c r="AL8" s="11" t="str">
        <f t="shared" si="186"/>
        <v>q</v>
      </c>
      <c r="AM8" s="11" t="str">
        <f t="shared" si="186"/>
        <v>q</v>
      </c>
      <c r="AN8" s="11" t="str">
        <f t="shared" si="186"/>
        <v>s</v>
      </c>
      <c r="AO8" s="11" t="str">
        <f t="shared" si="186"/>
        <v>s</v>
      </c>
      <c r="AP8" s="11" t="str">
        <f t="shared" si="186"/>
        <v>d</v>
      </c>
      <c r="AQ8" s="11" t="str">
        <f t="shared" si="186"/>
        <v>s</v>
      </c>
      <c r="AR8" s="11" t="str">
        <f t="shared" ref="AR8:BK8" si="187">LEFT(TEXT(AR7,"ddd"),1)</f>
        <v>t</v>
      </c>
      <c r="AS8" s="11" t="str">
        <f t="shared" si="187"/>
        <v>q</v>
      </c>
      <c r="AT8" s="11" t="str">
        <f t="shared" si="187"/>
        <v>q</v>
      </c>
      <c r="AU8" s="11" t="str">
        <f t="shared" si="187"/>
        <v>s</v>
      </c>
      <c r="AV8" s="11" t="str">
        <f t="shared" si="187"/>
        <v>s</v>
      </c>
      <c r="AW8" s="11" t="str">
        <f t="shared" si="187"/>
        <v>d</v>
      </c>
      <c r="AX8" s="11" t="str">
        <f t="shared" si="187"/>
        <v>s</v>
      </c>
      <c r="AY8" s="11" t="str">
        <f t="shared" si="187"/>
        <v>t</v>
      </c>
      <c r="AZ8" s="11" t="str">
        <f t="shared" si="187"/>
        <v>q</v>
      </c>
      <c r="BA8" s="11" t="str">
        <f t="shared" si="187"/>
        <v>q</v>
      </c>
      <c r="BB8" s="11" t="str">
        <f t="shared" si="187"/>
        <v>s</v>
      </c>
      <c r="BC8" s="11" t="str">
        <f t="shared" si="187"/>
        <v>s</v>
      </c>
      <c r="BD8" s="11" t="str">
        <f t="shared" si="187"/>
        <v>d</v>
      </c>
      <c r="BE8" s="11" t="str">
        <f t="shared" si="187"/>
        <v>s</v>
      </c>
      <c r="BF8" s="11" t="str">
        <f t="shared" si="187"/>
        <v>t</v>
      </c>
      <c r="BG8" s="11" t="str">
        <f t="shared" si="187"/>
        <v>q</v>
      </c>
      <c r="BH8" s="11" t="str">
        <f t="shared" si="187"/>
        <v>q</v>
      </c>
      <c r="BI8" s="11" t="str">
        <f t="shared" si="187"/>
        <v>s</v>
      </c>
      <c r="BJ8" s="11" t="str">
        <f t="shared" si="187"/>
        <v>s</v>
      </c>
      <c r="BK8" s="11" t="str">
        <f t="shared" si="187"/>
        <v>d</v>
      </c>
      <c r="BL8" s="11" t="str">
        <f t="shared" ref="BL8:DW8" si="188">LEFT(TEXT(BL7,"ddd"),1)</f>
        <v>s</v>
      </c>
      <c r="BM8" s="11" t="str">
        <f t="shared" si="188"/>
        <v>t</v>
      </c>
      <c r="BN8" s="11" t="str">
        <f t="shared" si="188"/>
        <v>q</v>
      </c>
      <c r="BO8" s="11" t="str">
        <f t="shared" si="188"/>
        <v>q</v>
      </c>
      <c r="BP8" s="11" t="str">
        <f t="shared" si="188"/>
        <v>s</v>
      </c>
      <c r="BQ8" s="11" t="str">
        <f t="shared" si="188"/>
        <v>s</v>
      </c>
      <c r="BR8" s="11" t="str">
        <f t="shared" si="188"/>
        <v>d</v>
      </c>
      <c r="BS8" s="11" t="str">
        <f t="shared" si="188"/>
        <v>s</v>
      </c>
      <c r="BT8" s="11" t="str">
        <f t="shared" si="188"/>
        <v>t</v>
      </c>
      <c r="BU8" s="11" t="str">
        <f t="shared" si="188"/>
        <v>q</v>
      </c>
      <c r="BV8" s="11" t="str">
        <f t="shared" si="188"/>
        <v>q</v>
      </c>
      <c r="BW8" s="11" t="str">
        <f t="shared" si="188"/>
        <v>s</v>
      </c>
      <c r="BX8" s="11" t="str">
        <f t="shared" si="188"/>
        <v>s</v>
      </c>
      <c r="BY8" s="11" t="str">
        <f t="shared" si="188"/>
        <v>d</v>
      </c>
      <c r="BZ8" s="11" t="str">
        <f t="shared" si="188"/>
        <v>s</v>
      </c>
      <c r="CA8" s="11" t="str">
        <f t="shared" si="188"/>
        <v>t</v>
      </c>
      <c r="CB8" s="11" t="str">
        <f t="shared" si="188"/>
        <v>q</v>
      </c>
      <c r="CC8" s="11" t="str">
        <f t="shared" si="188"/>
        <v>q</v>
      </c>
      <c r="CD8" s="11" t="str">
        <f t="shared" si="188"/>
        <v>s</v>
      </c>
      <c r="CE8" s="11" t="str">
        <f t="shared" si="188"/>
        <v>s</v>
      </c>
      <c r="CF8" s="11" t="str">
        <f t="shared" si="188"/>
        <v>d</v>
      </c>
      <c r="CG8" s="11" t="str">
        <f t="shared" si="188"/>
        <v>s</v>
      </c>
      <c r="CH8" s="11" t="str">
        <f t="shared" si="188"/>
        <v>t</v>
      </c>
      <c r="CI8" s="11" t="str">
        <f t="shared" si="188"/>
        <v>q</v>
      </c>
      <c r="CJ8" s="11" t="str">
        <f t="shared" si="188"/>
        <v>q</v>
      </c>
      <c r="CK8" s="11" t="str">
        <f t="shared" si="188"/>
        <v>s</v>
      </c>
      <c r="CL8" s="11" t="str">
        <f t="shared" si="188"/>
        <v>s</v>
      </c>
      <c r="CM8" s="11" t="str">
        <f t="shared" si="188"/>
        <v>d</v>
      </c>
      <c r="CN8" s="11" t="str">
        <f t="shared" si="188"/>
        <v>s</v>
      </c>
      <c r="CO8" s="11" t="str">
        <f t="shared" si="188"/>
        <v>t</v>
      </c>
      <c r="CP8" s="11" t="str">
        <f t="shared" si="188"/>
        <v>q</v>
      </c>
      <c r="CQ8" s="11" t="str">
        <f t="shared" si="188"/>
        <v>q</v>
      </c>
      <c r="CR8" s="11" t="str">
        <f t="shared" si="188"/>
        <v>s</v>
      </c>
      <c r="CS8" s="11" t="str">
        <f t="shared" si="188"/>
        <v>s</v>
      </c>
      <c r="CT8" s="11" t="str">
        <f t="shared" si="188"/>
        <v>d</v>
      </c>
      <c r="CU8" s="11" t="str">
        <f t="shared" si="188"/>
        <v>s</v>
      </c>
      <c r="CV8" s="11" t="str">
        <f t="shared" si="188"/>
        <v>t</v>
      </c>
      <c r="CW8" s="11" t="str">
        <f t="shared" si="188"/>
        <v>q</v>
      </c>
      <c r="CX8" s="11" t="str">
        <f t="shared" si="188"/>
        <v>q</v>
      </c>
      <c r="CY8" s="11" t="str">
        <f t="shared" si="188"/>
        <v>s</v>
      </c>
      <c r="CZ8" s="11" t="str">
        <f t="shared" si="188"/>
        <v>s</v>
      </c>
      <c r="DA8" s="11" t="str">
        <f t="shared" si="188"/>
        <v>d</v>
      </c>
      <c r="DB8" s="11" t="str">
        <f t="shared" si="188"/>
        <v>s</v>
      </c>
      <c r="DC8" s="11" t="str">
        <f t="shared" si="188"/>
        <v>t</v>
      </c>
      <c r="DD8" s="11" t="str">
        <f t="shared" si="188"/>
        <v>q</v>
      </c>
      <c r="DE8" s="11" t="str">
        <f t="shared" si="188"/>
        <v>q</v>
      </c>
      <c r="DF8" s="11" t="str">
        <f t="shared" si="188"/>
        <v>s</v>
      </c>
      <c r="DG8" s="11" t="str">
        <f t="shared" si="188"/>
        <v>s</v>
      </c>
      <c r="DH8" s="11" t="str">
        <f t="shared" si="188"/>
        <v>d</v>
      </c>
      <c r="DI8" s="11" t="str">
        <f t="shared" si="188"/>
        <v>s</v>
      </c>
      <c r="DJ8" s="11" t="str">
        <f t="shared" si="188"/>
        <v>t</v>
      </c>
      <c r="DK8" s="11" t="str">
        <f t="shared" si="188"/>
        <v>q</v>
      </c>
      <c r="DL8" s="11" t="str">
        <f t="shared" si="188"/>
        <v>q</v>
      </c>
      <c r="DM8" s="11" t="str">
        <f t="shared" si="188"/>
        <v>s</v>
      </c>
      <c r="DN8" s="11" t="str">
        <f t="shared" si="188"/>
        <v>s</v>
      </c>
      <c r="DO8" s="11" t="str">
        <f t="shared" si="188"/>
        <v>d</v>
      </c>
      <c r="DP8" s="11" t="str">
        <f t="shared" si="188"/>
        <v>s</v>
      </c>
      <c r="DQ8" s="11" t="str">
        <f t="shared" si="188"/>
        <v>t</v>
      </c>
      <c r="DR8" s="11" t="str">
        <f t="shared" si="188"/>
        <v>q</v>
      </c>
      <c r="DS8" s="11" t="str">
        <f t="shared" si="188"/>
        <v>q</v>
      </c>
      <c r="DT8" s="11" t="str">
        <f t="shared" si="188"/>
        <v>s</v>
      </c>
      <c r="DU8" s="11" t="str">
        <f t="shared" si="188"/>
        <v>s</v>
      </c>
      <c r="DV8" s="11" t="str">
        <f t="shared" si="188"/>
        <v>d</v>
      </c>
      <c r="DW8" s="11" t="str">
        <f t="shared" si="188"/>
        <v>s</v>
      </c>
      <c r="DX8" s="11" t="str">
        <f t="shared" ref="DX8:GI8" si="189">LEFT(TEXT(DX7,"ddd"),1)</f>
        <v>t</v>
      </c>
      <c r="DY8" s="11" t="str">
        <f t="shared" si="189"/>
        <v>q</v>
      </c>
      <c r="DZ8" s="11" t="str">
        <f t="shared" si="189"/>
        <v>q</v>
      </c>
      <c r="EA8" s="11" t="str">
        <f t="shared" si="189"/>
        <v>s</v>
      </c>
      <c r="EB8" s="11" t="str">
        <f t="shared" si="189"/>
        <v>s</v>
      </c>
      <c r="EC8" s="11" t="str">
        <f t="shared" si="189"/>
        <v>d</v>
      </c>
      <c r="ED8" s="11" t="str">
        <f t="shared" si="189"/>
        <v>s</v>
      </c>
      <c r="EE8" s="11" t="str">
        <f t="shared" si="189"/>
        <v>t</v>
      </c>
      <c r="EF8" s="11" t="str">
        <f t="shared" si="189"/>
        <v>q</v>
      </c>
      <c r="EG8" s="11" t="str">
        <f t="shared" si="189"/>
        <v>q</v>
      </c>
      <c r="EH8" s="11" t="str">
        <f t="shared" si="189"/>
        <v>s</v>
      </c>
      <c r="EI8" s="11" t="str">
        <f t="shared" si="189"/>
        <v>s</v>
      </c>
      <c r="EJ8" s="11" t="str">
        <f t="shared" si="189"/>
        <v>d</v>
      </c>
      <c r="EK8" s="11" t="str">
        <f t="shared" si="189"/>
        <v>s</v>
      </c>
      <c r="EL8" s="11" t="str">
        <f t="shared" si="189"/>
        <v>t</v>
      </c>
      <c r="EM8" s="11" t="str">
        <f t="shared" si="189"/>
        <v>q</v>
      </c>
      <c r="EN8" s="11" t="str">
        <f t="shared" si="189"/>
        <v>q</v>
      </c>
      <c r="EO8" s="11" t="str">
        <f t="shared" si="189"/>
        <v>s</v>
      </c>
      <c r="EP8" s="11" t="str">
        <f t="shared" si="189"/>
        <v>s</v>
      </c>
      <c r="EQ8" s="11" t="str">
        <f t="shared" si="189"/>
        <v>d</v>
      </c>
      <c r="ER8" s="11" t="str">
        <f t="shared" si="189"/>
        <v>s</v>
      </c>
      <c r="ES8" s="11" t="str">
        <f t="shared" si="189"/>
        <v>t</v>
      </c>
      <c r="ET8" s="11" t="str">
        <f t="shared" si="189"/>
        <v>q</v>
      </c>
      <c r="EU8" s="11" t="str">
        <f t="shared" si="189"/>
        <v>q</v>
      </c>
      <c r="EV8" s="11" t="str">
        <f t="shared" si="189"/>
        <v>s</v>
      </c>
      <c r="EW8" s="11" t="str">
        <f t="shared" si="189"/>
        <v>s</v>
      </c>
      <c r="EX8" s="11" t="str">
        <f t="shared" si="189"/>
        <v>d</v>
      </c>
      <c r="EY8" s="11" t="str">
        <f t="shared" si="189"/>
        <v>s</v>
      </c>
      <c r="EZ8" s="11" t="str">
        <f t="shared" si="189"/>
        <v>t</v>
      </c>
      <c r="FA8" s="11" t="str">
        <f t="shared" si="189"/>
        <v>q</v>
      </c>
      <c r="FB8" s="11" t="str">
        <f t="shared" si="189"/>
        <v>q</v>
      </c>
      <c r="FC8" s="11" t="str">
        <f t="shared" si="189"/>
        <v>s</v>
      </c>
      <c r="FD8" s="11" t="str">
        <f t="shared" si="189"/>
        <v>s</v>
      </c>
      <c r="FE8" s="11" t="str">
        <f t="shared" si="189"/>
        <v>d</v>
      </c>
      <c r="FF8" s="11" t="str">
        <f t="shared" si="189"/>
        <v>s</v>
      </c>
      <c r="FG8" s="11" t="str">
        <f t="shared" si="189"/>
        <v>t</v>
      </c>
      <c r="FH8" s="11" t="str">
        <f t="shared" si="189"/>
        <v>q</v>
      </c>
      <c r="FI8" s="11" t="str">
        <f t="shared" si="189"/>
        <v>q</v>
      </c>
      <c r="FJ8" s="11" t="str">
        <f t="shared" si="189"/>
        <v>s</v>
      </c>
      <c r="FK8" s="11" t="str">
        <f t="shared" si="189"/>
        <v>s</v>
      </c>
      <c r="FL8" s="11" t="str">
        <f t="shared" si="189"/>
        <v>d</v>
      </c>
      <c r="FM8" s="11" t="str">
        <f t="shared" si="189"/>
        <v>s</v>
      </c>
      <c r="FN8" s="11" t="str">
        <f t="shared" si="189"/>
        <v>t</v>
      </c>
      <c r="FO8" s="11" t="str">
        <f t="shared" si="189"/>
        <v>q</v>
      </c>
      <c r="FP8" s="11" t="str">
        <f t="shared" si="189"/>
        <v>q</v>
      </c>
      <c r="FQ8" s="11" t="str">
        <f t="shared" si="189"/>
        <v>s</v>
      </c>
      <c r="FR8" s="11" t="str">
        <f t="shared" si="189"/>
        <v>s</v>
      </c>
      <c r="FS8" s="11" t="str">
        <f t="shared" si="189"/>
        <v>d</v>
      </c>
      <c r="FT8" s="11" t="str">
        <f t="shared" si="189"/>
        <v>s</v>
      </c>
      <c r="FU8" s="11" t="str">
        <f t="shared" si="189"/>
        <v>t</v>
      </c>
      <c r="FV8" s="11" t="str">
        <f t="shared" si="189"/>
        <v>q</v>
      </c>
      <c r="FW8" s="11" t="str">
        <f t="shared" si="189"/>
        <v>q</v>
      </c>
      <c r="FX8" s="11" t="str">
        <f t="shared" si="189"/>
        <v>s</v>
      </c>
      <c r="FY8" s="11" t="str">
        <f t="shared" si="189"/>
        <v>s</v>
      </c>
      <c r="FZ8" s="11" t="str">
        <f t="shared" si="189"/>
        <v>d</v>
      </c>
      <c r="GA8" s="11" t="str">
        <f t="shared" si="189"/>
        <v>s</v>
      </c>
      <c r="GB8" s="11" t="str">
        <f t="shared" si="189"/>
        <v>t</v>
      </c>
      <c r="GC8" s="11" t="str">
        <f t="shared" si="189"/>
        <v>q</v>
      </c>
      <c r="GD8" s="11" t="str">
        <f t="shared" si="189"/>
        <v>q</v>
      </c>
      <c r="GE8" s="11" t="str">
        <f t="shared" si="189"/>
        <v>s</v>
      </c>
      <c r="GF8" s="11" t="str">
        <f t="shared" si="189"/>
        <v>s</v>
      </c>
      <c r="GG8" s="11" t="str">
        <f t="shared" si="189"/>
        <v>d</v>
      </c>
      <c r="GH8" s="11" t="str">
        <f t="shared" si="189"/>
        <v>s</v>
      </c>
      <c r="GI8" s="11" t="str">
        <f t="shared" si="189"/>
        <v>t</v>
      </c>
      <c r="GJ8" s="11" t="str">
        <f t="shared" ref="GJ8:GW8" si="190">LEFT(TEXT(GJ7,"ddd"),1)</f>
        <v>q</v>
      </c>
      <c r="GK8" s="11" t="str">
        <f t="shared" si="190"/>
        <v>q</v>
      </c>
      <c r="GL8" s="11" t="str">
        <f t="shared" si="190"/>
        <v>s</v>
      </c>
      <c r="GM8" s="11" t="str">
        <f t="shared" si="190"/>
        <v>s</v>
      </c>
      <c r="GN8" s="11" t="str">
        <f t="shared" si="190"/>
        <v>d</v>
      </c>
      <c r="GO8" s="11" t="str">
        <f t="shared" si="190"/>
        <v>s</v>
      </c>
      <c r="GP8" s="11" t="str">
        <f t="shared" si="190"/>
        <v>t</v>
      </c>
      <c r="GQ8" s="11" t="str">
        <f t="shared" si="190"/>
        <v>q</v>
      </c>
      <c r="GR8" s="11" t="str">
        <f t="shared" si="190"/>
        <v>q</v>
      </c>
      <c r="GS8" s="11" t="str">
        <f t="shared" si="190"/>
        <v>s</v>
      </c>
      <c r="GT8" s="11" t="str">
        <f t="shared" si="190"/>
        <v>s</v>
      </c>
      <c r="GU8" s="11" t="str">
        <f t="shared" si="190"/>
        <v>d</v>
      </c>
      <c r="GV8" s="11" t="str">
        <f t="shared" si="190"/>
        <v>s</v>
      </c>
      <c r="GW8" s="11" t="str">
        <f t="shared" si="190"/>
        <v>t</v>
      </c>
      <c r="GX8" s="11" t="str">
        <f t="shared" ref="GX8:HY8" si="191">LEFT(TEXT(GX7,"ddd"),1)</f>
        <v>q</v>
      </c>
      <c r="GY8" s="11" t="str">
        <f t="shared" si="191"/>
        <v>q</v>
      </c>
      <c r="GZ8" s="11" t="str">
        <f t="shared" si="191"/>
        <v>s</v>
      </c>
      <c r="HA8" s="11" t="str">
        <f t="shared" si="191"/>
        <v>s</v>
      </c>
      <c r="HB8" s="11" t="str">
        <f t="shared" si="191"/>
        <v>d</v>
      </c>
      <c r="HC8" s="11" t="str">
        <f t="shared" si="191"/>
        <v>s</v>
      </c>
      <c r="HD8" s="11" t="str">
        <f t="shared" si="191"/>
        <v>t</v>
      </c>
      <c r="HE8" s="11" t="str">
        <f t="shared" si="191"/>
        <v>q</v>
      </c>
      <c r="HF8" s="11" t="str">
        <f t="shared" si="191"/>
        <v>q</v>
      </c>
      <c r="HG8" s="11" t="str">
        <f t="shared" si="191"/>
        <v>s</v>
      </c>
      <c r="HH8" s="11" t="str">
        <f t="shared" si="191"/>
        <v>s</v>
      </c>
      <c r="HI8" s="11" t="str">
        <f t="shared" si="191"/>
        <v>d</v>
      </c>
      <c r="HJ8" s="11" t="str">
        <f t="shared" si="191"/>
        <v>s</v>
      </c>
      <c r="HK8" s="11" t="str">
        <f t="shared" si="191"/>
        <v>t</v>
      </c>
      <c r="HL8" s="11" t="str">
        <f t="shared" si="191"/>
        <v>q</v>
      </c>
      <c r="HM8" s="11" t="str">
        <f t="shared" si="191"/>
        <v>q</v>
      </c>
      <c r="HN8" s="11" t="str">
        <f t="shared" si="191"/>
        <v>s</v>
      </c>
      <c r="HO8" s="11" t="str">
        <f t="shared" si="191"/>
        <v>s</v>
      </c>
      <c r="HP8" s="11" t="str">
        <f t="shared" si="191"/>
        <v>d</v>
      </c>
      <c r="HQ8" s="11" t="str">
        <f t="shared" si="191"/>
        <v>s</v>
      </c>
      <c r="HR8" s="11" t="str">
        <f t="shared" si="191"/>
        <v>t</v>
      </c>
      <c r="HS8" s="11" t="str">
        <f t="shared" si="191"/>
        <v>q</v>
      </c>
      <c r="HT8" s="11" t="str">
        <f t="shared" si="191"/>
        <v>q</v>
      </c>
      <c r="HU8" s="11" t="str">
        <f t="shared" si="191"/>
        <v>s</v>
      </c>
      <c r="HV8" s="11" t="str">
        <f t="shared" si="191"/>
        <v>s</v>
      </c>
      <c r="HW8" s="11" t="str">
        <f t="shared" si="191"/>
        <v>d</v>
      </c>
      <c r="HX8" s="11" t="str">
        <f t="shared" si="191"/>
        <v>s</v>
      </c>
      <c r="HY8" s="11" t="str">
        <f t="shared" si="191"/>
        <v>t</v>
      </c>
      <c r="HZ8" s="11" t="str">
        <f t="shared" ref="HZ8:KC8" si="192">LEFT(TEXT(HZ7,"ddd"),1)</f>
        <v>q</v>
      </c>
      <c r="IA8" s="11" t="str">
        <f t="shared" si="192"/>
        <v>q</v>
      </c>
      <c r="IB8" s="11" t="str">
        <f t="shared" si="192"/>
        <v>s</v>
      </c>
      <c r="IC8" s="11" t="str">
        <f t="shared" si="192"/>
        <v>s</v>
      </c>
      <c r="ID8" s="11" t="str">
        <f t="shared" si="192"/>
        <v>d</v>
      </c>
      <c r="IE8" s="11" t="str">
        <f t="shared" si="192"/>
        <v>s</v>
      </c>
      <c r="IF8" s="11" t="str">
        <f t="shared" si="192"/>
        <v>t</v>
      </c>
      <c r="IG8" s="11" t="str">
        <f t="shared" si="192"/>
        <v>q</v>
      </c>
      <c r="IH8" s="11" t="str">
        <f t="shared" si="192"/>
        <v>q</v>
      </c>
      <c r="II8" s="11" t="str">
        <f t="shared" si="192"/>
        <v>s</v>
      </c>
      <c r="IJ8" s="11" t="str">
        <f t="shared" si="192"/>
        <v>s</v>
      </c>
      <c r="IK8" s="11" t="str">
        <f t="shared" si="192"/>
        <v>d</v>
      </c>
      <c r="IL8" s="11" t="str">
        <f t="shared" si="192"/>
        <v>s</v>
      </c>
      <c r="IM8" s="11" t="str">
        <f t="shared" si="192"/>
        <v>t</v>
      </c>
      <c r="IN8" s="11" t="str">
        <f t="shared" si="192"/>
        <v>q</v>
      </c>
      <c r="IO8" s="11" t="str">
        <f t="shared" si="192"/>
        <v>q</v>
      </c>
      <c r="IP8" s="11" t="str">
        <f t="shared" si="192"/>
        <v>s</v>
      </c>
      <c r="IQ8" s="11" t="str">
        <f t="shared" si="192"/>
        <v>s</v>
      </c>
      <c r="IR8" s="11" t="str">
        <f t="shared" si="192"/>
        <v>d</v>
      </c>
      <c r="IS8" s="11" t="str">
        <f t="shared" si="192"/>
        <v>s</v>
      </c>
      <c r="IT8" s="11" t="str">
        <f t="shared" si="192"/>
        <v>t</v>
      </c>
      <c r="IU8" s="11" t="str">
        <f t="shared" si="192"/>
        <v>q</v>
      </c>
      <c r="IV8" s="11" t="str">
        <f t="shared" si="192"/>
        <v>q</v>
      </c>
      <c r="IW8" s="11" t="str">
        <f t="shared" si="192"/>
        <v>s</v>
      </c>
      <c r="IX8" s="11" t="str">
        <f t="shared" si="192"/>
        <v>s</v>
      </c>
      <c r="IY8" s="11" t="str">
        <f t="shared" si="192"/>
        <v>d</v>
      </c>
      <c r="IZ8" s="11" t="str">
        <f t="shared" si="192"/>
        <v>s</v>
      </c>
      <c r="JA8" s="11" t="str">
        <f t="shared" si="192"/>
        <v>t</v>
      </c>
      <c r="JB8" s="11" t="str">
        <f t="shared" si="192"/>
        <v>q</v>
      </c>
      <c r="JC8" s="11" t="str">
        <f t="shared" si="192"/>
        <v>q</v>
      </c>
      <c r="JD8" s="11" t="str">
        <f t="shared" si="192"/>
        <v>s</v>
      </c>
      <c r="JE8" s="11" t="str">
        <f t="shared" si="192"/>
        <v>s</v>
      </c>
      <c r="JF8" s="11" t="str">
        <f t="shared" si="192"/>
        <v>d</v>
      </c>
      <c r="JG8" s="11" t="str">
        <f t="shared" si="192"/>
        <v>s</v>
      </c>
      <c r="JH8" s="11" t="str">
        <f t="shared" si="192"/>
        <v>t</v>
      </c>
      <c r="JI8" s="11" t="str">
        <f t="shared" si="192"/>
        <v>q</v>
      </c>
      <c r="JJ8" s="11" t="str">
        <f t="shared" si="192"/>
        <v>q</v>
      </c>
      <c r="JK8" s="11" t="str">
        <f t="shared" si="192"/>
        <v>s</v>
      </c>
      <c r="JL8" s="11" t="str">
        <f t="shared" si="192"/>
        <v>s</v>
      </c>
      <c r="JM8" s="11" t="str">
        <f t="shared" si="192"/>
        <v>d</v>
      </c>
      <c r="JN8" s="11" t="str">
        <f t="shared" si="192"/>
        <v>s</v>
      </c>
      <c r="JO8" s="11" t="str">
        <f t="shared" si="192"/>
        <v>t</v>
      </c>
      <c r="JP8" s="11" t="str">
        <f t="shared" si="192"/>
        <v>q</v>
      </c>
      <c r="JQ8" s="11" t="str">
        <f t="shared" si="192"/>
        <v>q</v>
      </c>
      <c r="JR8" s="11" t="str">
        <f t="shared" si="192"/>
        <v>s</v>
      </c>
      <c r="JS8" s="11" t="str">
        <f t="shared" si="192"/>
        <v>s</v>
      </c>
      <c r="JT8" s="11" t="str">
        <f t="shared" si="192"/>
        <v>d</v>
      </c>
      <c r="JU8" s="11" t="str">
        <f t="shared" si="192"/>
        <v>s</v>
      </c>
      <c r="JV8" s="11" t="str">
        <f t="shared" si="192"/>
        <v>t</v>
      </c>
      <c r="JW8" s="11" t="str">
        <f t="shared" si="192"/>
        <v>q</v>
      </c>
      <c r="JX8" s="11" t="str">
        <f t="shared" si="192"/>
        <v>q</v>
      </c>
      <c r="JY8" s="11" t="str">
        <f t="shared" si="192"/>
        <v>s</v>
      </c>
      <c r="JZ8" s="11" t="str">
        <f t="shared" si="192"/>
        <v>s</v>
      </c>
      <c r="KA8" s="11" t="str">
        <f t="shared" si="192"/>
        <v>d</v>
      </c>
      <c r="KB8" s="11" t="str">
        <f t="shared" si="192"/>
        <v>s</v>
      </c>
      <c r="KC8" s="11" t="str">
        <f t="shared" si="192"/>
        <v>t</v>
      </c>
      <c r="KD8" s="11" t="str">
        <f t="shared" ref="KD8:KU8" si="193">LEFT(TEXT(KD7,"ddd"),1)</f>
        <v>q</v>
      </c>
      <c r="KE8" s="11" t="str">
        <f t="shared" si="193"/>
        <v>q</v>
      </c>
      <c r="KF8" s="11" t="str">
        <f t="shared" si="193"/>
        <v>s</v>
      </c>
      <c r="KG8" s="11" t="str">
        <f t="shared" si="193"/>
        <v>s</v>
      </c>
      <c r="KH8" s="11" t="str">
        <f t="shared" si="193"/>
        <v>d</v>
      </c>
      <c r="KI8" s="11" t="str">
        <f t="shared" si="193"/>
        <v>s</v>
      </c>
      <c r="KJ8" s="11" t="str">
        <f t="shared" si="193"/>
        <v>t</v>
      </c>
      <c r="KK8" s="11" t="str">
        <f t="shared" si="193"/>
        <v>q</v>
      </c>
      <c r="KL8" s="11" t="str">
        <f t="shared" si="193"/>
        <v>q</v>
      </c>
      <c r="KM8" s="11" t="str">
        <f t="shared" si="193"/>
        <v>s</v>
      </c>
      <c r="KN8" s="11" t="str">
        <f t="shared" si="193"/>
        <v>s</v>
      </c>
      <c r="KO8" s="11" t="str">
        <f t="shared" si="193"/>
        <v>d</v>
      </c>
      <c r="KP8" s="11" t="str">
        <f t="shared" si="193"/>
        <v>s</v>
      </c>
      <c r="KQ8" s="11" t="str">
        <f t="shared" si="193"/>
        <v>t</v>
      </c>
      <c r="KR8" s="11" t="str">
        <f t="shared" si="193"/>
        <v>q</v>
      </c>
      <c r="KS8" s="11" t="str">
        <f t="shared" si="193"/>
        <v>q</v>
      </c>
      <c r="KT8" s="11" t="str">
        <f t="shared" si="193"/>
        <v>s</v>
      </c>
      <c r="KU8" s="11" t="str">
        <f t="shared" si="193"/>
        <v>s</v>
      </c>
      <c r="KV8" s="11" t="str">
        <f t="shared" ref="KV8:KZ8" si="194">LEFT(TEXT(KV7,"ddd"),1)</f>
        <v>d</v>
      </c>
      <c r="KW8" s="11" t="str">
        <f t="shared" si="194"/>
        <v>s</v>
      </c>
      <c r="KX8" s="11" t="str">
        <f t="shared" si="194"/>
        <v>t</v>
      </c>
      <c r="KY8" s="11" t="str">
        <f t="shared" si="194"/>
        <v>q</v>
      </c>
      <c r="KZ8" s="11" t="str">
        <f t="shared" si="194"/>
        <v>q</v>
      </c>
    </row>
    <row r="9" spans="1:312" s="2" customFormat="1" ht="21.75" thickBot="1">
      <c r="A9" s="12"/>
      <c r="B9" s="14" t="s">
        <v>12</v>
      </c>
      <c r="C9" s="15"/>
      <c r="D9" s="45">
        <v>45916</v>
      </c>
      <c r="E9" s="46">
        <v>45955</v>
      </c>
      <c r="F9" s="13"/>
      <c r="G9" s="13">
        <f t="shared" ref="G9:G25" ca="1" si="195">IF(OR(ISBLANK(task_start),ISBLANK(task_end)),"",task_end-task_start+1)</f>
        <v>40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</row>
    <row r="10" spans="1:312" s="2" customFormat="1" ht="21.75" thickBot="1">
      <c r="A10" s="12"/>
      <c r="B10" s="16" t="s">
        <v>13</v>
      </c>
      <c r="C10" s="17"/>
      <c r="D10" s="47">
        <v>45916</v>
      </c>
      <c r="E10" s="48">
        <v>45927</v>
      </c>
      <c r="F10" s="13"/>
      <c r="G10" s="13">
        <f t="shared" ca="1" si="195"/>
        <v>12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30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</row>
    <row r="11" spans="1:312" s="2" customFormat="1" ht="21.75" thickBot="1">
      <c r="A11" s="12"/>
      <c r="B11" s="16" t="s">
        <v>14</v>
      </c>
      <c r="C11" s="17"/>
      <c r="D11" s="47">
        <v>45923</v>
      </c>
      <c r="E11" s="48">
        <v>45944</v>
      </c>
      <c r="F11" s="13"/>
      <c r="G11" s="13">
        <f t="shared" ca="1" si="195"/>
        <v>22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8"/>
      <c r="AM11" s="29"/>
      <c r="AN11" s="29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</row>
    <row r="12" spans="1:312" s="2" customFormat="1" ht="21.75" thickBot="1">
      <c r="A12" s="12"/>
      <c r="B12" s="16" t="s">
        <v>15</v>
      </c>
      <c r="C12" s="17"/>
      <c r="D12" s="47">
        <v>45931</v>
      </c>
      <c r="E12" s="48">
        <v>45950</v>
      </c>
      <c r="F12" s="13"/>
      <c r="G12" s="13">
        <f t="shared" ca="1" si="195"/>
        <v>20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31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30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</row>
    <row r="13" spans="1:312" s="2" customFormat="1" ht="21.75" thickBot="1">
      <c r="A13" s="12"/>
      <c r="B13" s="16" t="s">
        <v>16</v>
      </c>
      <c r="C13" s="17"/>
      <c r="D13" s="47">
        <v>45936</v>
      </c>
      <c r="E13" s="48">
        <v>45957</v>
      </c>
      <c r="F13" s="13"/>
      <c r="G13" s="13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31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8"/>
      <c r="BW13" s="57"/>
      <c r="BX13" s="29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</row>
    <row r="14" spans="1:312" s="2" customFormat="1" ht="21.75" thickBot="1">
      <c r="A14" s="12"/>
      <c r="B14" s="16" t="s">
        <v>17</v>
      </c>
      <c r="C14" s="17"/>
      <c r="D14" s="47">
        <v>45945</v>
      </c>
      <c r="E14" s="48">
        <v>45966</v>
      </c>
      <c r="F14" s="13"/>
      <c r="G14" s="13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31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8"/>
      <c r="BW14" s="29"/>
      <c r="BX14" s="29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</row>
    <row r="15" spans="1:312" s="2" customFormat="1" ht="21.75" thickBot="1">
      <c r="A15" s="12"/>
      <c r="B15" s="18" t="s">
        <v>18</v>
      </c>
      <c r="C15" s="19"/>
      <c r="D15" s="49">
        <v>45958</v>
      </c>
      <c r="E15" s="50">
        <v>46053</v>
      </c>
      <c r="F15" s="13"/>
      <c r="G15" s="13">
        <f t="shared" ca="1" si="195"/>
        <v>96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</row>
    <row r="16" spans="1:312" s="2" customFormat="1" ht="21.75" thickBot="1">
      <c r="A16" s="12"/>
      <c r="B16" s="20" t="s">
        <v>19</v>
      </c>
      <c r="C16" s="21"/>
      <c r="D16" s="51">
        <v>45958</v>
      </c>
      <c r="E16" s="52">
        <v>45979</v>
      </c>
      <c r="F16" s="13"/>
      <c r="G16" s="13">
        <f t="shared" ca="1" si="195"/>
        <v>22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30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</row>
    <row r="17" spans="1:312" s="2" customFormat="1" ht="21.75" thickBot="1">
      <c r="A17" s="12"/>
      <c r="B17" s="64" t="s">
        <v>20</v>
      </c>
      <c r="C17" s="65"/>
      <c r="D17" s="66">
        <v>45965</v>
      </c>
      <c r="E17" s="66">
        <v>45986</v>
      </c>
      <c r="F17" s="13"/>
      <c r="G17" s="13">
        <f t="shared" ca="1" si="195"/>
        <v>22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8"/>
      <c r="DE17" s="26"/>
      <c r="DF17" s="29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</row>
    <row r="18" spans="1:312" s="2" customFormat="1" ht="21.75" thickBot="1">
      <c r="A18" s="12"/>
      <c r="B18" s="20" t="s">
        <v>21</v>
      </c>
      <c r="C18" s="21"/>
      <c r="D18" s="51">
        <v>45979</v>
      </c>
      <c r="E18" s="51">
        <v>46001</v>
      </c>
      <c r="F18" s="13"/>
      <c r="G18" s="13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31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</row>
    <row r="19" spans="1:312" s="2" customFormat="1" ht="21.75" thickBot="1">
      <c r="A19" s="12"/>
      <c r="B19" s="20" t="s">
        <v>22</v>
      </c>
      <c r="C19" s="21"/>
      <c r="D19" s="51">
        <v>45993</v>
      </c>
      <c r="E19" s="53">
        <v>46011</v>
      </c>
      <c r="F19" s="13"/>
      <c r="G19" s="13">
        <f t="shared" ca="1" si="195"/>
        <v>19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</row>
    <row r="20" spans="1:312" s="2" customFormat="1" ht="21.75" thickBot="1">
      <c r="A20" s="12"/>
      <c r="B20" s="20" t="s">
        <v>23</v>
      </c>
      <c r="C20" s="21"/>
      <c r="D20" s="51">
        <v>46006</v>
      </c>
      <c r="E20" s="52">
        <v>46042</v>
      </c>
      <c r="F20" s="13"/>
      <c r="G20" s="13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30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</row>
    <row r="21" spans="1:312" s="2" customFormat="1" ht="21.75" thickBot="1">
      <c r="A21" s="12"/>
      <c r="B21" s="20" t="s">
        <v>24</v>
      </c>
      <c r="C21" s="21"/>
      <c r="D21" s="51">
        <v>46043</v>
      </c>
      <c r="E21" s="52">
        <v>46053</v>
      </c>
      <c r="F21" s="13"/>
      <c r="G21" s="1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30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6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</row>
    <row r="22" spans="1:312" s="2" customFormat="1" ht="21.75" thickBot="1">
      <c r="A22" s="12"/>
      <c r="B22" s="22" t="s">
        <v>25</v>
      </c>
      <c r="C22" s="23"/>
      <c r="D22" s="54">
        <v>46056</v>
      </c>
      <c r="E22" s="55">
        <v>46127</v>
      </c>
      <c r="F22" s="13"/>
      <c r="G22" s="13">
        <f t="shared" ca="1" si="195"/>
        <v>72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30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</row>
    <row r="23" spans="1:312" s="2" customFormat="1" ht="21.75" thickBot="1">
      <c r="A23" s="12"/>
      <c r="B23" s="24" t="s">
        <v>26</v>
      </c>
      <c r="C23" s="25"/>
      <c r="D23" s="56">
        <v>46056</v>
      </c>
      <c r="E23" s="56">
        <v>46077</v>
      </c>
      <c r="F23" s="13"/>
      <c r="G23" s="13">
        <f t="shared" ca="1" si="195"/>
        <v>22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8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30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</row>
    <row r="24" spans="1:312" s="2" customFormat="1" ht="21.75" thickBot="1">
      <c r="A24" s="12"/>
      <c r="B24" s="24" t="s">
        <v>27</v>
      </c>
      <c r="C24" s="25"/>
      <c r="D24" s="56">
        <v>46070</v>
      </c>
      <c r="E24" s="56">
        <v>46091</v>
      </c>
      <c r="F24" s="13"/>
      <c r="G24" s="1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8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30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30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30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30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30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30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30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30"/>
      <c r="KF24" s="26"/>
      <c r="KG24" s="26"/>
      <c r="KH24" s="26"/>
      <c r="KI24" s="30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30"/>
      <c r="KX24" s="26"/>
      <c r="KY24" s="26"/>
      <c r="KZ24" s="26"/>
    </row>
    <row r="25" spans="1:312" s="2" customFormat="1" ht="21.75" thickBot="1">
      <c r="A25" s="12"/>
      <c r="B25" s="24" t="s">
        <v>28</v>
      </c>
      <c r="C25" s="25"/>
      <c r="D25" s="56">
        <v>46084</v>
      </c>
      <c r="E25" s="56">
        <v>46112</v>
      </c>
      <c r="F25" s="13"/>
      <c r="G25" s="13">
        <f t="shared" ca="1" si="195"/>
        <v>29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8"/>
      <c r="FV25" s="26"/>
      <c r="FW25" s="29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30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30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30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30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30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30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30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30"/>
      <c r="KF25" s="26"/>
      <c r="KG25" s="26"/>
      <c r="KH25" s="26"/>
      <c r="KI25" s="30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30"/>
      <c r="KX25" s="26"/>
      <c r="KY25" s="26"/>
      <c r="KZ25" s="26"/>
    </row>
    <row r="26" spans="1:312" s="2" customFormat="1" ht="21.75" thickBot="1">
      <c r="A26" s="12"/>
      <c r="B26" s="24" t="s">
        <v>29</v>
      </c>
      <c r="C26" s="25"/>
      <c r="D26" s="56">
        <v>46105</v>
      </c>
      <c r="E26" s="56">
        <v>46127</v>
      </c>
      <c r="F26" s="13"/>
      <c r="G26" s="13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31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8"/>
      <c r="FV26" s="26"/>
      <c r="FW26" s="29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8"/>
      <c r="GK26" s="30"/>
      <c r="GL26" s="29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8"/>
      <c r="GY26" s="30"/>
      <c r="GZ26" s="29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8"/>
      <c r="HM26" s="30"/>
      <c r="HN26" s="29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8"/>
      <c r="IA26" s="30"/>
      <c r="IB26" s="29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8"/>
      <c r="IO26" s="30"/>
      <c r="IP26" s="29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8"/>
      <c r="JC26" s="30"/>
      <c r="JD26" s="29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8"/>
      <c r="JQ26" s="30"/>
      <c r="JR26" s="29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8"/>
      <c r="KE26" s="30"/>
      <c r="KF26" s="29"/>
      <c r="KG26" s="26"/>
      <c r="KH26" s="26"/>
      <c r="KI26" s="30"/>
      <c r="KJ26" s="29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8"/>
      <c r="KW26" s="30"/>
      <c r="KX26" s="29"/>
      <c r="KY26" s="26"/>
      <c r="KZ26" s="26"/>
    </row>
    <row r="27" spans="1:312" s="2" customFormat="1" ht="21.75" thickBot="1">
      <c r="A27" s="12"/>
      <c r="B27" s="62" t="s">
        <v>30</v>
      </c>
      <c r="C27" s="60"/>
      <c r="D27" s="61">
        <v>46128</v>
      </c>
      <c r="E27" s="61">
        <v>46199</v>
      </c>
      <c r="F27" s="13"/>
      <c r="G27" s="13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31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8"/>
      <c r="FV27" s="26"/>
      <c r="FW27" s="29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8"/>
      <c r="GK27" s="30"/>
      <c r="GL27" s="29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8"/>
      <c r="GY27" s="30"/>
      <c r="GZ27" s="29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8"/>
      <c r="HM27" s="30"/>
      <c r="HN27" s="29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8"/>
      <c r="IA27" s="30"/>
      <c r="IB27" s="29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8"/>
      <c r="IO27" s="30"/>
      <c r="IP27" s="29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8"/>
      <c r="JC27" s="30"/>
      <c r="JD27" s="29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8"/>
      <c r="JQ27" s="30"/>
      <c r="JR27" s="29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8"/>
      <c r="KE27" s="30"/>
      <c r="KF27" s="29"/>
      <c r="KG27" s="26"/>
      <c r="KH27" s="26"/>
      <c r="KI27" s="30"/>
      <c r="KJ27" s="29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8"/>
      <c r="KW27" s="30"/>
      <c r="KX27" s="29"/>
      <c r="KY27" s="26"/>
      <c r="KZ27" s="26"/>
    </row>
    <row r="28" spans="1:312" s="2" customFormat="1" ht="21.75" thickBot="1">
      <c r="A28" s="12"/>
      <c r="B28" s="63" t="s">
        <v>31</v>
      </c>
      <c r="C28" s="58"/>
      <c r="D28" s="59">
        <v>46128</v>
      </c>
      <c r="E28" s="59">
        <v>46148</v>
      </c>
      <c r="F28" s="13"/>
      <c r="G28" s="1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31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8"/>
      <c r="FV28" s="26"/>
      <c r="FW28" s="29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8"/>
      <c r="GK28" s="30"/>
      <c r="GL28" s="29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8"/>
      <c r="GY28" s="30"/>
      <c r="GZ28" s="29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8"/>
      <c r="HM28" s="30"/>
      <c r="HN28" s="29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8"/>
      <c r="IA28" s="30"/>
      <c r="IB28" s="29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8"/>
      <c r="IO28" s="30"/>
      <c r="IP28" s="29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8"/>
      <c r="JC28" s="30"/>
      <c r="JD28" s="29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8"/>
      <c r="JQ28" s="30"/>
      <c r="JR28" s="29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8"/>
      <c r="KE28" s="30"/>
      <c r="KF28" s="29"/>
      <c r="KG28" s="26"/>
      <c r="KH28" s="26"/>
      <c r="KI28" s="30"/>
      <c r="KJ28" s="29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8"/>
      <c r="KW28" s="30"/>
      <c r="KX28" s="29"/>
      <c r="KY28" s="26"/>
      <c r="KZ28" s="26"/>
    </row>
    <row r="29" spans="1:312" s="2" customFormat="1" ht="21.75" thickBot="1">
      <c r="A29" s="12"/>
      <c r="B29" s="63" t="s">
        <v>32</v>
      </c>
      <c r="C29" s="58"/>
      <c r="D29" s="59">
        <v>46140</v>
      </c>
      <c r="E29" s="59">
        <v>46162</v>
      </c>
      <c r="F29" s="13"/>
      <c r="G29" s="13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31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8"/>
      <c r="FV29" s="26"/>
      <c r="FW29" s="29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8"/>
      <c r="GK29" s="30"/>
      <c r="GL29" s="29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8"/>
      <c r="GY29" s="30"/>
      <c r="GZ29" s="29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8"/>
      <c r="HM29" s="30"/>
      <c r="HN29" s="29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8"/>
      <c r="IA29" s="30"/>
      <c r="IB29" s="29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8"/>
      <c r="IO29" s="30"/>
      <c r="IP29" s="29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8"/>
      <c r="JC29" s="30"/>
      <c r="JD29" s="29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8"/>
      <c r="JQ29" s="30"/>
      <c r="JR29" s="29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8"/>
      <c r="KE29" s="30"/>
      <c r="KF29" s="29"/>
      <c r="KG29" s="26"/>
      <c r="KH29" s="26"/>
      <c r="KI29" s="30"/>
      <c r="KJ29" s="29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8"/>
      <c r="KW29" s="30"/>
      <c r="KX29" s="29"/>
      <c r="KY29" s="26"/>
      <c r="KZ29" s="26"/>
    </row>
    <row r="30" spans="1:312" s="2" customFormat="1" ht="21.75" thickBot="1">
      <c r="A30" s="12"/>
      <c r="B30" s="63" t="s">
        <v>33</v>
      </c>
      <c r="C30" s="58"/>
      <c r="D30" s="59">
        <v>46154</v>
      </c>
      <c r="E30" s="59">
        <v>46183</v>
      </c>
      <c r="F30" s="13"/>
      <c r="G30" s="13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31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8"/>
      <c r="FV30" s="26"/>
      <c r="FW30" s="29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8"/>
      <c r="GK30" s="30"/>
      <c r="GL30" s="29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8"/>
      <c r="GY30" s="30"/>
      <c r="GZ30" s="29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8"/>
      <c r="HM30" s="30"/>
      <c r="HN30" s="29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8"/>
      <c r="IA30" s="30"/>
      <c r="IB30" s="29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8"/>
      <c r="IO30" s="30"/>
      <c r="IP30" s="29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8"/>
      <c r="JC30" s="30"/>
      <c r="JD30" s="29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8"/>
      <c r="JQ30" s="30"/>
      <c r="JR30" s="29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8"/>
      <c r="KE30" s="30"/>
      <c r="KF30" s="29"/>
      <c r="KG30" s="26"/>
      <c r="KH30" s="26"/>
      <c r="KI30" s="30"/>
      <c r="KJ30" s="29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8"/>
      <c r="KW30" s="30"/>
      <c r="KX30" s="29"/>
      <c r="KY30" s="26"/>
      <c r="KZ30" s="26"/>
    </row>
    <row r="31" spans="1:312" s="2" customFormat="1" ht="21.75" thickBot="1">
      <c r="A31" s="12"/>
      <c r="B31" s="63" t="s">
        <v>34</v>
      </c>
      <c r="C31" s="58"/>
      <c r="D31" s="59">
        <v>46175</v>
      </c>
      <c r="E31" s="59">
        <v>46193</v>
      </c>
      <c r="F31" s="13"/>
      <c r="G31" s="13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31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8"/>
      <c r="FV31" s="26"/>
      <c r="FW31" s="29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8"/>
      <c r="GK31" s="30"/>
      <c r="GL31" s="29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8"/>
      <c r="GY31" s="30"/>
      <c r="GZ31" s="29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8"/>
      <c r="HM31" s="30"/>
      <c r="HN31" s="29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8"/>
      <c r="IA31" s="30"/>
      <c r="IB31" s="29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8"/>
      <c r="IO31" s="30"/>
      <c r="IP31" s="29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8"/>
      <c r="JC31" s="30"/>
      <c r="JD31" s="29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8"/>
      <c r="JQ31" s="30"/>
      <c r="JR31" s="29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8"/>
      <c r="KE31" s="30"/>
      <c r="KF31" s="29"/>
      <c r="KG31" s="26"/>
      <c r="KH31" s="26"/>
      <c r="KI31" s="30"/>
      <c r="KJ31" s="29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8"/>
      <c r="KW31" s="30"/>
      <c r="KX31" s="29"/>
      <c r="KY31" s="26"/>
      <c r="KZ31" s="26"/>
    </row>
    <row r="32" spans="1:312" s="2" customFormat="1" ht="21.75" thickBot="1">
      <c r="A32" s="12"/>
      <c r="B32" s="63" t="s">
        <v>35</v>
      </c>
      <c r="C32" s="58"/>
      <c r="D32" s="59">
        <v>46195</v>
      </c>
      <c r="E32" s="59">
        <v>46199</v>
      </c>
      <c r="F32" s="13"/>
      <c r="G32" s="13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31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9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8"/>
      <c r="GK32" s="30"/>
      <c r="GL32" s="29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8"/>
      <c r="GY32" s="30"/>
      <c r="GZ32" s="29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8"/>
      <c r="HM32" s="30"/>
      <c r="HN32" s="29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8"/>
      <c r="IA32" s="30"/>
      <c r="IB32" s="29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8"/>
      <c r="IO32" s="30"/>
      <c r="IP32" s="29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8"/>
      <c r="JC32" s="30"/>
      <c r="JD32" s="29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8"/>
      <c r="JQ32" s="30"/>
      <c r="JR32" s="29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8"/>
      <c r="KE32" s="30"/>
      <c r="KF32" s="29"/>
      <c r="KG32" s="26"/>
      <c r="KH32" s="26"/>
      <c r="KI32" s="30"/>
      <c r="KJ32" s="29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8"/>
      <c r="KW32" s="30"/>
      <c r="KX32" s="29"/>
      <c r="KY32" s="26"/>
      <c r="KZ32" s="26"/>
    </row>
  </sheetData>
  <mergeCells count="47">
    <mergeCell ref="KT6:KZ6"/>
    <mergeCell ref="JG6:JM6"/>
    <mergeCell ref="JN6:JT6"/>
    <mergeCell ref="JU6:KA6"/>
    <mergeCell ref="KB6:KH6"/>
    <mergeCell ref="KM6:KS6"/>
    <mergeCell ref="HX6:ID6"/>
    <mergeCell ref="IE6:IK6"/>
    <mergeCell ref="IL6:IR6"/>
    <mergeCell ref="IS6:IY6"/>
    <mergeCell ref="IZ6:JF6"/>
    <mergeCell ref="GO6:GU6"/>
    <mergeCell ref="GV6:HB6"/>
    <mergeCell ref="HC6:HI6"/>
    <mergeCell ref="HJ6:HP6"/>
    <mergeCell ref="HQ6:HW6"/>
    <mergeCell ref="I1:Z1"/>
    <mergeCell ref="AJ6:AP6"/>
    <mergeCell ref="AQ6:AW6"/>
    <mergeCell ref="AX6:BD6"/>
    <mergeCell ref="BE6:BK6"/>
    <mergeCell ref="BS6:BY6"/>
    <mergeCell ref="BZ6:CF6"/>
    <mergeCell ref="CG6:CM6"/>
    <mergeCell ref="CN6:CT6"/>
    <mergeCell ref="D3:E3"/>
    <mergeCell ref="H6:N6"/>
    <mergeCell ref="O6:U6"/>
    <mergeCell ref="V6:AB6"/>
    <mergeCell ref="AC6:AI6"/>
    <mergeCell ref="D4:E4"/>
    <mergeCell ref="B1:F1"/>
    <mergeCell ref="FM6:FS6"/>
    <mergeCell ref="FT6:FZ6"/>
    <mergeCell ref="GA6:GG6"/>
    <mergeCell ref="GH6:GN6"/>
    <mergeCell ref="ED6:EJ6"/>
    <mergeCell ref="EK6:EQ6"/>
    <mergeCell ref="ER6:EX6"/>
    <mergeCell ref="EY6:FE6"/>
    <mergeCell ref="FF6:FL6"/>
    <mergeCell ref="CU6:DA6"/>
    <mergeCell ref="DB6:DH6"/>
    <mergeCell ref="DI6:DO6"/>
    <mergeCell ref="DP6:DV6"/>
    <mergeCell ref="DW6:EC6"/>
    <mergeCell ref="BL6:BR6"/>
  </mergeCells>
  <phoneticPr fontId="15" type="noConversion"/>
  <conditionalFormatting sqref="H7:KZ32">
    <cfRule type="expression" dxfId="2" priority="78">
      <formula>AND(today&gt;=H$7,today&lt;H$7+1)</formula>
    </cfRule>
  </conditionalFormatting>
  <conditionalFormatting sqref="H9:KZ32">
    <cfRule type="expression" dxfId="1" priority="76">
      <formula>AND(task_start&lt;=H$7,ROUNDDOWN((task_end-task_start+1)*task_progress,0)+task_start-1&gt;=H$7)</formula>
    </cfRule>
    <cfRule type="expression" dxfId="0" priority="77" stopIfTrue="1">
      <formula>AND(task_end&gt;=H$7,task_start&lt;H$7+1)</formula>
    </cfRule>
  </conditionalFormatting>
  <pageMargins left="0.35" right="0.35" top="0.35" bottom="0.5" header="0.3" footer="0.3"/>
  <pageSetup scale="62" fitToHeight="0" orientation="landscape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subject/>
  <dc:creator>Vertex42.com</dc:creator>
  <cp:keywords/>
  <dc:description>© 2018-2019 Vertex42 LLC. All Rights Reserved.</dc:description>
  <cp:lastModifiedBy/>
  <cp:revision/>
  <dcterms:created xsi:type="dcterms:W3CDTF">2017-01-09T18:01:51Z</dcterms:created>
  <dcterms:modified xsi:type="dcterms:W3CDTF">2026-01-17T22:21:50Z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